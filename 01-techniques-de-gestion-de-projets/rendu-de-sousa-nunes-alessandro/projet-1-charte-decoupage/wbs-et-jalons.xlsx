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ee8758c4b754eab/Bureau/E3-Gestion-de-projets-PPE/01-techniques-de-gestion-de-projets/rendu-de-sousa-nunes-alessandro/projet-1-charte-decoupage/"/>
    </mc:Choice>
  </mc:AlternateContent>
  <xr:revisionPtr revIDLastSave="0" documentId="8_{BFFC6D6B-8F66-41C8-B903-9F5E1F11152A}" xr6:coauthVersionLast="47" xr6:coauthVersionMax="47" xr10:uidLastSave="{00000000-0000-0000-0000-000000000000}"/>
  <bookViews>
    <workbookView xWindow="-110" yWindow="-110" windowWidth="25820" windowHeight="15500" xr2:uid="{82B3B0F2-878D-448E-808B-7A7A4EDCAB09}"/>
  </bookViews>
  <sheets>
    <sheet name="WBS" sheetId="1" r:id="rId1"/>
    <sheet name="Jalo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2" i="2" l="1"/>
  <c r="C12" i="2"/>
  <c r="D11" i="2"/>
  <c r="C11" i="2"/>
  <c r="D10" i="2"/>
  <c r="C10" i="2"/>
  <c r="D9" i="2"/>
  <c r="C9" i="2"/>
  <c r="D8" i="2"/>
  <c r="C8" i="2"/>
  <c r="D7" i="2"/>
  <c r="C7" i="2"/>
  <c r="D6" i="2"/>
  <c r="C6" i="2"/>
  <c r="D5" i="2"/>
  <c r="C5" i="2"/>
  <c r="H2" i="2"/>
  <c r="E56" i="1"/>
  <c r="E53" i="1"/>
  <c r="E50" i="1"/>
  <c r="E49" i="1"/>
  <c r="E46" i="1"/>
  <c r="E43" i="1"/>
  <c r="E40" i="1"/>
  <c r="E36" i="1"/>
  <c r="E35" i="1"/>
  <c r="E32" i="1"/>
  <c r="E29" i="1"/>
  <c r="E25" i="1"/>
  <c r="E24" i="1"/>
  <c r="E20" i="1"/>
  <c r="E17" i="1"/>
  <c r="E16" i="1"/>
  <c r="E13" i="1"/>
  <c r="E10" i="1"/>
  <c r="E7" i="1"/>
  <c r="E6" i="1"/>
  <c r="E5" i="1"/>
</calcChain>
</file>

<file path=xl/sharedStrings.xml><?xml version="1.0" encoding="utf-8"?>
<sst xmlns="http://schemas.openxmlformats.org/spreadsheetml/2006/main" count="180" uniqueCount="150">
  <si>
    <t>WBS - Journée portes ouvertes</t>
  </si>
  <si>
    <t>De Sousa Nunes Alessandro - CFC 3</t>
  </si>
  <si>
    <t>Code</t>
  </si>
  <si>
    <t>Niv.</t>
  </si>
  <si>
    <t>Élément du découpage</t>
  </si>
  <si>
    <t>Responsable</t>
  </si>
  <si>
    <t>Charge (j)</t>
  </si>
  <si>
    <t>0</t>
  </si>
  <si>
    <t>Journée portes ouvertes</t>
  </si>
  <si>
    <t>Chef de projet</t>
  </si>
  <si>
    <t>1</t>
  </si>
  <si>
    <t>Gestion de projet</t>
  </si>
  <si>
    <t>1.1</t>
  </si>
  <si>
    <t>Lancement</t>
  </si>
  <si>
    <t>1.1.1</t>
  </si>
  <si>
    <t>Entretien avec la direction (recueil des besoins)</t>
  </si>
  <si>
    <t>1.1.2</t>
  </si>
  <si>
    <t>Rédaction et validation de la charte</t>
  </si>
  <si>
    <t>1.2</t>
  </si>
  <si>
    <t>Suivi</t>
  </si>
  <si>
    <t>1.2.1</t>
  </si>
  <si>
    <t>Point hebdomadaire avec la direction</t>
  </si>
  <si>
    <t>1.2.2</t>
  </si>
  <si>
    <t>Suivi du budget et des dépenses</t>
  </si>
  <si>
    <t>1.3</t>
  </si>
  <si>
    <t>Clôture</t>
  </si>
  <si>
    <t>1.3.1</t>
  </si>
  <si>
    <t>Questionnaire de satisfaction des visiteurs</t>
  </si>
  <si>
    <t>1.3.2</t>
  </si>
  <si>
    <t>Bilan final avec la direction</t>
  </si>
  <si>
    <t>2</t>
  </si>
  <si>
    <t>Programme et contenus</t>
  </si>
  <si>
    <t>Responsable programme</t>
  </si>
  <si>
    <t>2.1</t>
  </si>
  <si>
    <t>Programme de la journée</t>
  </si>
  <si>
    <t>2.1.1</t>
  </si>
  <si>
    <t>Horaires et déroulé de la journée</t>
  </si>
  <si>
    <t>Resp. programme</t>
  </si>
  <si>
    <t>2.1.2</t>
  </si>
  <si>
    <t>Choix des animations (visites, démonstrations, stands)</t>
  </si>
  <si>
    <t>2.2</t>
  </si>
  <si>
    <t>Contenus</t>
  </si>
  <si>
    <t>2.2.1</t>
  </si>
  <si>
    <t>Présentation de l'entreprise (diaporama en boucle)</t>
  </si>
  <si>
    <t>2.2.2</t>
  </si>
  <si>
    <t>Préparation des démonstrations par service</t>
  </si>
  <si>
    <t>Chefs de service</t>
  </si>
  <si>
    <t>2.2.3</t>
  </si>
  <si>
    <t>Supports imprimés (flyers, kakémono)</t>
  </si>
  <si>
    <t>Resp. communication</t>
  </si>
  <si>
    <t>3</t>
  </si>
  <si>
    <t>Communication</t>
  </si>
  <si>
    <t>Responsable communication</t>
  </si>
  <si>
    <t>3.1</t>
  </si>
  <si>
    <t>Communication externe</t>
  </si>
  <si>
    <t>3.1.1</t>
  </si>
  <si>
    <t>Liste des invités (clients, partenaires, voisins, presse locale)</t>
  </si>
  <si>
    <t>3.1.2</t>
  </si>
  <si>
    <t>Envoi des invitations (e-mail et courrier)</t>
  </si>
  <si>
    <t>3.1.3</t>
  </si>
  <si>
    <t>Annonce sur le site web et les réseaux sociaux</t>
  </si>
  <si>
    <t>3.2</t>
  </si>
  <si>
    <t>Communication interne</t>
  </si>
  <si>
    <t>3.2.1</t>
  </si>
  <si>
    <t>Information des collaborateurs</t>
  </si>
  <si>
    <t>3.2.2</t>
  </si>
  <si>
    <t>Planning de présence du personnel</t>
  </si>
  <si>
    <t>3.3</t>
  </si>
  <si>
    <t>Inscriptions</t>
  </si>
  <si>
    <t>3.3.1</t>
  </si>
  <si>
    <t>Formulaire d'inscription en ligne</t>
  </si>
  <si>
    <t>3.3.2</t>
  </si>
  <si>
    <t>Suivi des inscrits et relances</t>
  </si>
  <si>
    <t>4</t>
  </si>
  <si>
    <t>Logistique</t>
  </si>
  <si>
    <t>Responsable logistique</t>
  </si>
  <si>
    <t>4.1</t>
  </si>
  <si>
    <t>Locaux</t>
  </si>
  <si>
    <t>4.1.1</t>
  </si>
  <si>
    <t>Plan d'aménagement des espaces</t>
  </si>
  <si>
    <t>Resp. logistique</t>
  </si>
  <si>
    <t>4.1.2</t>
  </si>
  <si>
    <t>Rangement et nettoyage</t>
  </si>
  <si>
    <t>4.1.3</t>
  </si>
  <si>
    <t>Signalétique et places de parc</t>
  </si>
  <si>
    <t>4.2</t>
  </si>
  <si>
    <t>Matériel</t>
  </si>
  <si>
    <t>4.2.1</t>
  </si>
  <si>
    <t>Matériel IT (écrans, PC de démo, Wi-Fi invités)</t>
  </si>
  <si>
    <t>Informaticien</t>
  </si>
  <si>
    <t>4.2.2</t>
  </si>
  <si>
    <t>Mobilier et sonorisation</t>
  </si>
  <si>
    <t>4.3</t>
  </si>
  <si>
    <t>Restauration</t>
  </si>
  <si>
    <t>4.3.1</t>
  </si>
  <si>
    <t>Demande de devis et choix du traiteur</t>
  </si>
  <si>
    <t>4.3.2</t>
  </si>
  <si>
    <t>Commande définitive (selon inscrits)</t>
  </si>
  <si>
    <t>4.4</t>
  </si>
  <si>
    <t>Sécurité</t>
  </si>
  <si>
    <t>4.4.1</t>
  </si>
  <si>
    <t>Plan d'évacuation et premiers secours</t>
  </si>
  <si>
    <t>4.4.2</t>
  </si>
  <si>
    <t>Vérification de l'assurance pour l'événement</t>
  </si>
  <si>
    <t>5</t>
  </si>
  <si>
    <t>Jour J</t>
  </si>
  <si>
    <t>5.1</t>
  </si>
  <si>
    <t>Préparation</t>
  </si>
  <si>
    <t>5.1.1</t>
  </si>
  <si>
    <t>Répétition générale</t>
  </si>
  <si>
    <t>Toute l'équipe</t>
  </si>
  <si>
    <t>5.1.2</t>
  </si>
  <si>
    <t>Installation la veille</t>
  </si>
  <si>
    <t>5.2</t>
  </si>
  <si>
    <t>Déroulement</t>
  </si>
  <si>
    <t>5.2.1</t>
  </si>
  <si>
    <t>Accueil des visiteurs</t>
  </si>
  <si>
    <t>Accueil</t>
  </si>
  <si>
    <t>5.2.2</t>
  </si>
  <si>
    <t>Animation des stands et visites guidées</t>
  </si>
  <si>
    <t>5.3</t>
  </si>
  <si>
    <t>Après l'événement</t>
  </si>
  <si>
    <t>5.3.1</t>
  </si>
  <si>
    <t>Démontage et rangement</t>
  </si>
  <si>
    <t>5.3.2</t>
  </si>
  <si>
    <t>Message de remerciement aux visiteurs</t>
  </si>
  <si>
    <t>Niveau 0 = projet, niveau 1 = grandes parties, niveau 2 = sous-parties, niveau 3 = lots de travail. Les charges des niveaux 0 à 2 sont la somme des lots de niveau 3.</t>
  </si>
  <si>
    <t>Jalons du projet - Journée portes ouvertes</t>
  </si>
  <si>
    <t>Jalon</t>
  </si>
  <si>
    <t>Description</t>
  </si>
  <si>
    <t>Date</t>
  </si>
  <si>
    <t>Semaine</t>
  </si>
  <si>
    <t>Position</t>
  </si>
  <si>
    <t>Début du projet :</t>
  </si>
  <si>
    <t>J0</t>
  </si>
  <si>
    <t>Lancement du projet</t>
  </si>
  <si>
    <t>J1</t>
  </si>
  <si>
    <t>Charte validée par la direction</t>
  </si>
  <si>
    <t>J2</t>
  </si>
  <si>
    <t>Programme et budget validés</t>
  </si>
  <si>
    <t>J3</t>
  </si>
  <si>
    <t>Invitations envoyées</t>
  </si>
  <si>
    <t>J4</t>
  </si>
  <si>
    <t>Logistique confirmée (traiteur, matériel)</t>
  </si>
  <si>
    <t>J5</t>
  </si>
  <si>
    <t>J6</t>
  </si>
  <si>
    <t>Jour J : portes ouvertes</t>
  </si>
  <si>
    <t>J7</t>
  </si>
  <si>
    <t>Bilan de clôture</t>
  </si>
  <si>
    <t>La colonne Position sert uniquement à placer les étiquettes au-dessus ou en dessous de la frise.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</si>
</sst>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0" fontId="3" fillId="2" borderId="1" xfId="0" applyFont="1" applyFill="1" applyBorder="1"/>
    <xf numFmtId="0" fontId="0" fillId="0" borderId="1" xfId="0" applyBorder="1"/>
    <xf numFmtId="0" fontId="3" fillId="2" borderId="2" xfId="0" applyFont="1" applyFill="1" applyBorder="1"/>
    <xf numFmtId="0" fontId="3" fillId="2" borderId="2" xfId="0" quotePrefix="1" applyFont="1" applyFill="1" applyBorder="1"/>
    <xf numFmtId="0" fontId="3" fillId="2" borderId="2" xfId="0" applyFont="1" applyFill="1" applyBorder="1" applyAlignment="1"/>
    <xf numFmtId="0" fontId="1" fillId="3" borderId="2" xfId="0" quotePrefix="1" applyFont="1" applyFill="1" applyBorder="1"/>
    <xf numFmtId="0" fontId="1" fillId="3" borderId="2" xfId="0" applyFont="1" applyFill="1" applyBorder="1"/>
    <xf numFmtId="0" fontId="1" fillId="3" borderId="2" xfId="0" applyFont="1" applyFill="1" applyBorder="1" applyAlignment="1">
      <alignment horizontal="left" indent="2"/>
    </xf>
    <xf numFmtId="0" fontId="1" fillId="4" borderId="2" xfId="0" quotePrefix="1" applyFont="1" applyFill="1" applyBorder="1"/>
    <xf numFmtId="0" fontId="1" fillId="4" borderId="2" xfId="0" applyFont="1" applyFill="1" applyBorder="1"/>
    <xf numFmtId="0" fontId="1" fillId="4" borderId="2" xfId="0" applyFont="1" applyFill="1" applyBorder="1" applyAlignment="1">
      <alignment horizontal="left" indent="4"/>
    </xf>
    <xf numFmtId="0" fontId="0" fillId="0" borderId="2" xfId="0" quotePrefix="1" applyBorder="1"/>
    <xf numFmtId="0" fontId="0" fillId="0" borderId="2" xfId="0" applyBorder="1"/>
    <xf numFmtId="0" fontId="0" fillId="0" borderId="2" xfId="0" applyBorder="1" applyAlignment="1">
      <alignment horizontal="left" indent="6"/>
    </xf>
    <xf numFmtId="0" fontId="3" fillId="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4" fillId="0" borderId="0" xfId="0" applyFont="1"/>
    <xf numFmtId="14" fontId="0" fillId="0" borderId="0" xfId="0" applyNumberFormat="1"/>
    <xf numFmtId="0" fontId="1" fillId="0" borderId="1" xfId="0" applyFont="1" applyBorder="1"/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Frise des jalons - Journée portes ouvertes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Jalons</c:v>
          </c:tx>
          <c:spPr>
            <a:ln w="38100">
              <a:noFill/>
            </a:ln>
          </c:spPr>
          <c:marker>
            <c:symbol val="diamond"/>
            <c:size val="11"/>
            <c:spPr>
              <a:solidFill>
                <a:srgbClr val="C0392B"/>
              </a:solidFill>
              <a:ln>
                <a:solidFill>
                  <a:srgbClr val="C0392B"/>
                </a:solidFill>
                <a:prstDash val="solid"/>
              </a:ln>
            </c:spPr>
          </c:marker>
          <c:dLbls>
            <c:dLbl>
              <c:idx val="0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900"/>
                    </a:pPr>
                    <a:r>
                      <a:rPr lang="en-US"/>
                      <a:t>J0 - Lancement du projet
19.10.2026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3C71-43F0-A454-4F2A2A700C90}"/>
                </c:ext>
              </c:extLst>
            </c:dLbl>
            <c:dLbl>
              <c:idx val="1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900"/>
                    </a:pPr>
                    <a:r>
                      <a:rPr lang="en-US"/>
                      <a:t>J1 - Charte validée par la direction
23.10.2026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3C71-43F0-A454-4F2A2A700C90}"/>
                </c:ext>
              </c:extLst>
            </c:dLbl>
            <c:dLbl>
              <c:idx val="2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900"/>
                    </a:pPr>
                    <a:r>
                      <a:rPr lang="en-US"/>
                      <a:t>J2 - Programme et budget validés
30.10.2026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3C71-43F0-A454-4F2A2A700C90}"/>
                </c:ext>
              </c:extLst>
            </c:dLbl>
            <c:dLbl>
              <c:idx val="3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900"/>
                    </a:pPr>
                    <a:r>
                      <a:rPr lang="en-US"/>
                      <a:t>J3 - Invitations envoyées
06.11.2026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3C71-43F0-A454-4F2A2A700C90}"/>
                </c:ext>
              </c:extLst>
            </c:dLbl>
            <c:dLbl>
              <c:idx val="4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900"/>
                    </a:pPr>
                    <a:r>
                      <a:rPr lang="en-US"/>
                      <a:t>J4 - Logistique confirmée (traiteur, matériel)
13.11.2026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3C71-43F0-A454-4F2A2A700C90}"/>
                </c:ext>
              </c:extLst>
            </c:dLbl>
            <c:dLbl>
              <c:idx val="5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900"/>
                    </a:pPr>
                    <a:r>
                      <a:rPr lang="en-US"/>
                      <a:t>J5 - Répétition générale
25.11.2026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3C71-43F0-A454-4F2A2A700C90}"/>
                </c:ext>
              </c:extLst>
            </c:dLbl>
            <c:dLbl>
              <c:idx val="6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900"/>
                    </a:pPr>
                    <a:r>
                      <a:rPr lang="en-US"/>
                      <a:t>J6 - Jour J : portes ouvertes
27.11.2026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3C71-43F0-A454-4F2A2A700C90}"/>
                </c:ext>
              </c:extLst>
            </c:dLbl>
            <c:dLbl>
              <c:idx val="7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900"/>
                    </a:pPr>
                    <a:r>
                      <a:rPr lang="en-US"/>
                      <a:t>J7 - Bilan de clôture
04.12.2026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3C71-43F0-A454-4F2A2A700C90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errBars>
            <c:errDir val="y"/>
            <c:errBarType val="minus"/>
            <c:errValType val="percentage"/>
            <c:noEndCap val="1"/>
            <c:val val="100"/>
            <c:spPr>
              <a:ln>
                <a:solidFill>
                  <a:srgbClr val="A6A6A6"/>
                </a:solidFill>
              </a:ln>
            </c:spPr>
          </c:errBars>
          <c:xVal>
            <c:numRef>
              <c:f>Jalons!$C$5:$C$12</c:f>
              <c:numCache>
                <c:formatCode>m/d/yyyy</c:formatCode>
                <c:ptCount val="8"/>
                <c:pt idx="0">
                  <c:v>46314</c:v>
                </c:pt>
                <c:pt idx="1">
                  <c:v>46318</c:v>
                </c:pt>
                <c:pt idx="2">
                  <c:v>46325</c:v>
                </c:pt>
                <c:pt idx="3">
                  <c:v>46332</c:v>
                </c:pt>
                <c:pt idx="4">
                  <c:v>46339</c:v>
                </c:pt>
                <c:pt idx="5">
                  <c:v>46351</c:v>
                </c:pt>
                <c:pt idx="6">
                  <c:v>46353</c:v>
                </c:pt>
                <c:pt idx="7">
                  <c:v>46360</c:v>
                </c:pt>
              </c:numCache>
            </c:numRef>
          </c:xVal>
          <c:yVal>
            <c:numRef>
              <c:f>Jalons!$E$5:$E$12</c:f>
              <c:numCache>
                <c:formatCode>General</c:formatCode>
                <c:ptCount val="8"/>
                <c:pt idx="0">
                  <c:v>1</c:v>
                </c:pt>
                <c:pt idx="1">
                  <c:v>-1</c:v>
                </c:pt>
                <c:pt idx="2">
                  <c:v>1</c:v>
                </c:pt>
                <c:pt idx="3">
                  <c:v>-1</c:v>
                </c:pt>
                <c:pt idx="4">
                  <c:v>1</c:v>
                </c:pt>
                <c:pt idx="5">
                  <c:v>-1</c:v>
                </c:pt>
                <c:pt idx="6">
                  <c:v>1</c:v>
                </c:pt>
                <c:pt idx="7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C71-43F0-A454-4F2A2A700C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5710111"/>
        <c:axId val="2142930031"/>
      </c:scatterChart>
      <c:valAx>
        <c:axId val="425710111"/>
        <c:scaling>
          <c:orientation val="minMax"/>
          <c:max val="46363"/>
          <c:min val="46311"/>
        </c:scaling>
        <c:delete val="0"/>
        <c:axPos val="b"/>
        <c:majorGridlines>
          <c:spPr>
            <a:ln>
              <a:solidFill>
                <a:srgbClr val="E6E6E6"/>
              </a:solidFill>
            </a:ln>
          </c:spPr>
        </c:majorGridlines>
        <c:numFmt formatCode="m/d/yyyy" sourceLinked="0"/>
        <c:majorTickMark val="out"/>
        <c:minorTickMark val="none"/>
        <c:tickLblPos val="nextTo"/>
        <c:spPr>
          <a:ln w="31750">
            <a:solidFill>
              <a:srgbClr val="1F4E79"/>
            </a:solidFill>
          </a:ln>
        </c:spPr>
        <c:crossAx val="2142930031"/>
        <c:crosses val="autoZero"/>
        <c:crossBetween val="midCat"/>
        <c:majorUnit val="7"/>
      </c:valAx>
      <c:valAx>
        <c:axId val="2142930031"/>
        <c:scaling>
          <c:orientation val="minMax"/>
          <c:max val="2"/>
          <c:min val="-2"/>
        </c:scaling>
        <c:delete val="0"/>
        <c:axPos val="l"/>
        <c:numFmt formatCode="General" sourceLinked="1"/>
        <c:majorTickMark val="out"/>
        <c:minorTickMark val="none"/>
        <c:tickLblPos val="none"/>
        <c:spPr>
          <a:noFill/>
          <a:ln w="1270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12700" cap="flat" cmpd="sng" algn="ctr">
                <a:solidFill>
                  <a:sysClr val="windowText" lastClr="000000">
                    <a:tint val="75000"/>
                  </a:sysClr>
                </a:solidFill>
                <a:prstDash val="solid"/>
                <a:round/>
              </a14:hiddenLine>
            </a:ext>
          </a:extLst>
        </c:spPr>
        <c:crossAx val="425710111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15</xdr:row>
      <xdr:rowOff>107950</xdr:rowOff>
    </xdr:from>
    <xdr:to>
      <xdr:col>15</xdr:col>
      <xdr:colOff>368300</xdr:colOff>
      <xdr:row>38</xdr:row>
      <xdr:rowOff>63500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9D75E7D8-D771-946E-8F42-5312615075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751A7-C583-4B68-ABF6-A820B5125B1F}">
  <dimension ref="A1:E60"/>
  <sheetViews>
    <sheetView tabSelected="1" zoomScale="90" zoomScaleNormal="90" workbookViewId="0"/>
  </sheetViews>
  <sheetFormatPr baseColWidth="10" defaultRowHeight="14.5" x14ac:dyDescent="0.35"/>
  <cols>
    <col min="1" max="1" width="8.6328125" customWidth="1"/>
    <col min="2" max="2" width="5.6328125" customWidth="1"/>
    <col min="3" max="3" width="62.6328125" customWidth="1"/>
    <col min="4" max="4" width="24.6328125" customWidth="1"/>
    <col min="5" max="5" width="10.6328125" customWidth="1"/>
  </cols>
  <sheetData>
    <row r="1" spans="1:5" ht="18.5" x14ac:dyDescent="0.45">
      <c r="A1" s="1" t="s">
        <v>0</v>
      </c>
    </row>
    <row r="2" spans="1:5" x14ac:dyDescent="0.35">
      <c r="A2" t="s">
        <v>1</v>
      </c>
    </row>
    <row r="4" spans="1:5" x14ac:dyDescent="0.3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</row>
    <row r="5" spans="1:5" x14ac:dyDescent="0.35">
      <c r="A5" s="5" t="s">
        <v>7</v>
      </c>
      <c r="B5" s="16">
        <v>0</v>
      </c>
      <c r="C5" s="6" t="s">
        <v>8</v>
      </c>
      <c r="D5" s="4" t="s">
        <v>9</v>
      </c>
      <c r="E5" s="16">
        <f>SUMIFS(E6:E58,B6:B58,3)</f>
        <v>25</v>
      </c>
    </row>
    <row r="6" spans="1:5" x14ac:dyDescent="0.35">
      <c r="A6" s="7" t="s">
        <v>10</v>
      </c>
      <c r="B6" s="17">
        <v>1</v>
      </c>
      <c r="C6" s="9" t="s">
        <v>11</v>
      </c>
      <c r="D6" s="8" t="s">
        <v>9</v>
      </c>
      <c r="E6" s="17">
        <f>SUMIFS(E7:E58,A7:A58,"1.*",B7:B58,3)</f>
        <v>4</v>
      </c>
    </row>
    <row r="7" spans="1:5" x14ac:dyDescent="0.35">
      <c r="A7" s="10" t="s">
        <v>12</v>
      </c>
      <c r="B7" s="18">
        <v>2</v>
      </c>
      <c r="C7" s="12" t="s">
        <v>13</v>
      </c>
      <c r="D7" s="11"/>
      <c r="E7" s="18">
        <f>SUMIFS(E8:E58,A8:A58,"1.1.*",B8:B58,3)</f>
        <v>1.5</v>
      </c>
    </row>
    <row r="8" spans="1:5" x14ac:dyDescent="0.35">
      <c r="A8" s="13" t="s">
        <v>14</v>
      </c>
      <c r="B8" s="19">
        <v>3</v>
      </c>
      <c r="C8" s="15" t="s">
        <v>15</v>
      </c>
      <c r="D8" s="14" t="s">
        <v>9</v>
      </c>
      <c r="E8" s="19">
        <v>0.5</v>
      </c>
    </row>
    <row r="9" spans="1:5" x14ac:dyDescent="0.35">
      <c r="A9" s="13" t="s">
        <v>16</v>
      </c>
      <c r="B9" s="19">
        <v>3</v>
      </c>
      <c r="C9" s="15" t="s">
        <v>17</v>
      </c>
      <c r="D9" s="14" t="s">
        <v>9</v>
      </c>
      <c r="E9" s="19">
        <v>1</v>
      </c>
    </row>
    <row r="10" spans="1:5" x14ac:dyDescent="0.35">
      <c r="A10" s="10" t="s">
        <v>18</v>
      </c>
      <c r="B10" s="18">
        <v>2</v>
      </c>
      <c r="C10" s="12" t="s">
        <v>19</v>
      </c>
      <c r="D10" s="11"/>
      <c r="E10" s="18">
        <f>SUMIFS(E11:E58,A11:A58,"1.2.*",B11:B58,3)</f>
        <v>1.5</v>
      </c>
    </row>
    <row r="11" spans="1:5" x14ac:dyDescent="0.35">
      <c r="A11" s="13" t="s">
        <v>20</v>
      </c>
      <c r="B11" s="19">
        <v>3</v>
      </c>
      <c r="C11" s="15" t="s">
        <v>21</v>
      </c>
      <c r="D11" s="14" t="s">
        <v>9</v>
      </c>
      <c r="E11" s="19">
        <v>1</v>
      </c>
    </row>
    <row r="12" spans="1:5" x14ac:dyDescent="0.35">
      <c r="A12" s="13" t="s">
        <v>22</v>
      </c>
      <c r="B12" s="19">
        <v>3</v>
      </c>
      <c r="C12" s="15" t="s">
        <v>23</v>
      </c>
      <c r="D12" s="14" t="s">
        <v>9</v>
      </c>
      <c r="E12" s="19">
        <v>0.5</v>
      </c>
    </row>
    <row r="13" spans="1:5" x14ac:dyDescent="0.35">
      <c r="A13" s="10" t="s">
        <v>24</v>
      </c>
      <c r="B13" s="18">
        <v>2</v>
      </c>
      <c r="C13" s="12" t="s">
        <v>25</v>
      </c>
      <c r="D13" s="11"/>
      <c r="E13" s="18">
        <f>SUMIFS(E14:E58,A14:A58,"1.3.*",B14:B58,3)</f>
        <v>1</v>
      </c>
    </row>
    <row r="14" spans="1:5" x14ac:dyDescent="0.35">
      <c r="A14" s="13" t="s">
        <v>26</v>
      </c>
      <c r="B14" s="19">
        <v>3</v>
      </c>
      <c r="C14" s="15" t="s">
        <v>27</v>
      </c>
      <c r="D14" s="14" t="s">
        <v>9</v>
      </c>
      <c r="E14" s="19">
        <v>0.5</v>
      </c>
    </row>
    <row r="15" spans="1:5" x14ac:dyDescent="0.35">
      <c r="A15" s="13" t="s">
        <v>28</v>
      </c>
      <c r="B15" s="19">
        <v>3</v>
      </c>
      <c r="C15" s="15" t="s">
        <v>29</v>
      </c>
      <c r="D15" s="14" t="s">
        <v>9</v>
      </c>
      <c r="E15" s="19">
        <v>0.5</v>
      </c>
    </row>
    <row r="16" spans="1:5" x14ac:dyDescent="0.35">
      <c r="A16" s="7" t="s">
        <v>30</v>
      </c>
      <c r="B16" s="17">
        <v>1</v>
      </c>
      <c r="C16" s="9" t="s">
        <v>31</v>
      </c>
      <c r="D16" s="8" t="s">
        <v>32</v>
      </c>
      <c r="E16" s="17">
        <f>SUMIFS(E17:E58,A17:A58,"2.*",B17:B58,3)</f>
        <v>7</v>
      </c>
    </row>
    <row r="17" spans="1:5" x14ac:dyDescent="0.35">
      <c r="A17" s="10" t="s">
        <v>33</v>
      </c>
      <c r="B17" s="18">
        <v>2</v>
      </c>
      <c r="C17" s="12" t="s">
        <v>34</v>
      </c>
      <c r="D17" s="11"/>
      <c r="E17" s="18">
        <f>SUMIFS(E18:E58,A18:A58,"2.1.*",B18:B58,3)</f>
        <v>1.5</v>
      </c>
    </row>
    <row r="18" spans="1:5" x14ac:dyDescent="0.35">
      <c r="A18" s="13" t="s">
        <v>35</v>
      </c>
      <c r="B18" s="19">
        <v>3</v>
      </c>
      <c r="C18" s="15" t="s">
        <v>36</v>
      </c>
      <c r="D18" s="14" t="s">
        <v>37</v>
      </c>
      <c r="E18" s="19">
        <v>0.5</v>
      </c>
    </row>
    <row r="19" spans="1:5" x14ac:dyDescent="0.35">
      <c r="A19" s="13" t="s">
        <v>38</v>
      </c>
      <c r="B19" s="19">
        <v>3</v>
      </c>
      <c r="C19" s="15" t="s">
        <v>39</v>
      </c>
      <c r="D19" s="14" t="s">
        <v>37</v>
      </c>
      <c r="E19" s="19">
        <v>1</v>
      </c>
    </row>
    <row r="20" spans="1:5" x14ac:dyDescent="0.35">
      <c r="A20" s="10" t="s">
        <v>40</v>
      </c>
      <c r="B20" s="18">
        <v>2</v>
      </c>
      <c r="C20" s="12" t="s">
        <v>41</v>
      </c>
      <c r="D20" s="11"/>
      <c r="E20" s="18">
        <f>SUMIFS(E21:E58,A21:A58,"2.2.*",B21:B58,3)</f>
        <v>5.5</v>
      </c>
    </row>
    <row r="21" spans="1:5" x14ac:dyDescent="0.35">
      <c r="A21" s="13" t="s">
        <v>42</v>
      </c>
      <c r="B21" s="19">
        <v>3</v>
      </c>
      <c r="C21" s="15" t="s">
        <v>43</v>
      </c>
      <c r="D21" s="14" t="s">
        <v>37</v>
      </c>
      <c r="E21" s="19">
        <v>1.5</v>
      </c>
    </row>
    <row r="22" spans="1:5" x14ac:dyDescent="0.35">
      <c r="A22" s="13" t="s">
        <v>44</v>
      </c>
      <c r="B22" s="19">
        <v>3</v>
      </c>
      <c r="C22" s="15" t="s">
        <v>45</v>
      </c>
      <c r="D22" s="14" t="s">
        <v>46</v>
      </c>
      <c r="E22" s="19">
        <v>3</v>
      </c>
    </row>
    <row r="23" spans="1:5" x14ac:dyDescent="0.35">
      <c r="A23" s="13" t="s">
        <v>47</v>
      </c>
      <c r="B23" s="19">
        <v>3</v>
      </c>
      <c r="C23" s="15" t="s">
        <v>48</v>
      </c>
      <c r="D23" s="14" t="s">
        <v>49</v>
      </c>
      <c r="E23" s="19">
        <v>1</v>
      </c>
    </row>
    <row r="24" spans="1:5" x14ac:dyDescent="0.35">
      <c r="A24" s="7" t="s">
        <v>50</v>
      </c>
      <c r="B24" s="17">
        <v>1</v>
      </c>
      <c r="C24" s="9" t="s">
        <v>51</v>
      </c>
      <c r="D24" s="8" t="s">
        <v>52</v>
      </c>
      <c r="E24" s="17">
        <f>SUMIFS(E25:E58,A25:A58,"3.*",B25:B58,3)</f>
        <v>4.25</v>
      </c>
    </row>
    <row r="25" spans="1:5" x14ac:dyDescent="0.35">
      <c r="A25" s="10" t="s">
        <v>53</v>
      </c>
      <c r="B25" s="18">
        <v>2</v>
      </c>
      <c r="C25" s="12" t="s">
        <v>54</v>
      </c>
      <c r="D25" s="11"/>
      <c r="E25" s="18">
        <f>SUMIFS(E26:E58,A26:A58,"3.1.*",B26:B58,3)</f>
        <v>2</v>
      </c>
    </row>
    <row r="26" spans="1:5" x14ac:dyDescent="0.35">
      <c r="A26" s="13" t="s">
        <v>55</v>
      </c>
      <c r="B26" s="19">
        <v>3</v>
      </c>
      <c r="C26" s="15" t="s">
        <v>56</v>
      </c>
      <c r="D26" s="14" t="s">
        <v>49</v>
      </c>
      <c r="E26" s="19">
        <v>0.5</v>
      </c>
    </row>
    <row r="27" spans="1:5" x14ac:dyDescent="0.35">
      <c r="A27" s="13" t="s">
        <v>57</v>
      </c>
      <c r="B27" s="19">
        <v>3</v>
      </c>
      <c r="C27" s="15" t="s">
        <v>58</v>
      </c>
      <c r="D27" s="14" t="s">
        <v>49</v>
      </c>
      <c r="E27" s="19">
        <v>1</v>
      </c>
    </row>
    <row r="28" spans="1:5" x14ac:dyDescent="0.35">
      <c r="A28" s="13" t="s">
        <v>59</v>
      </c>
      <c r="B28" s="19">
        <v>3</v>
      </c>
      <c r="C28" s="15" t="s">
        <v>60</v>
      </c>
      <c r="D28" s="14" t="s">
        <v>49</v>
      </c>
      <c r="E28" s="19">
        <v>0.5</v>
      </c>
    </row>
    <row r="29" spans="1:5" x14ac:dyDescent="0.35">
      <c r="A29" s="10" t="s">
        <v>61</v>
      </c>
      <c r="B29" s="18">
        <v>2</v>
      </c>
      <c r="C29" s="12" t="s">
        <v>62</v>
      </c>
      <c r="D29" s="11"/>
      <c r="E29" s="18">
        <f>SUMIFS(E30:E58,A30:A58,"3.2.*",B30:B58,3)</f>
        <v>0.75</v>
      </c>
    </row>
    <row r="30" spans="1:5" x14ac:dyDescent="0.35">
      <c r="A30" s="13" t="s">
        <v>63</v>
      </c>
      <c r="B30" s="19">
        <v>3</v>
      </c>
      <c r="C30" s="15" t="s">
        <v>64</v>
      </c>
      <c r="D30" s="14" t="s">
        <v>9</v>
      </c>
      <c r="E30" s="19">
        <v>0.25</v>
      </c>
    </row>
    <row r="31" spans="1:5" x14ac:dyDescent="0.35">
      <c r="A31" s="13" t="s">
        <v>65</v>
      </c>
      <c r="B31" s="19">
        <v>3</v>
      </c>
      <c r="C31" s="15" t="s">
        <v>66</v>
      </c>
      <c r="D31" s="14" t="s">
        <v>9</v>
      </c>
      <c r="E31" s="19">
        <v>0.5</v>
      </c>
    </row>
    <row r="32" spans="1:5" x14ac:dyDescent="0.35">
      <c r="A32" s="10" t="s">
        <v>67</v>
      </c>
      <c r="B32" s="18">
        <v>2</v>
      </c>
      <c r="C32" s="12" t="s">
        <v>68</v>
      </c>
      <c r="D32" s="11"/>
      <c r="E32" s="18">
        <f>SUMIFS(E33:E58,A33:A58,"3.3.*",B33:B58,3)</f>
        <v>1.5</v>
      </c>
    </row>
    <row r="33" spans="1:5" x14ac:dyDescent="0.35">
      <c r="A33" s="13" t="s">
        <v>69</v>
      </c>
      <c r="B33" s="19">
        <v>3</v>
      </c>
      <c r="C33" s="15" t="s">
        <v>70</v>
      </c>
      <c r="D33" s="14" t="s">
        <v>49</v>
      </c>
      <c r="E33" s="19">
        <v>0.5</v>
      </c>
    </row>
    <row r="34" spans="1:5" x14ac:dyDescent="0.35">
      <c r="A34" s="13" t="s">
        <v>71</v>
      </c>
      <c r="B34" s="19">
        <v>3</v>
      </c>
      <c r="C34" s="15" t="s">
        <v>72</v>
      </c>
      <c r="D34" s="14" t="s">
        <v>49</v>
      </c>
      <c r="E34" s="19">
        <v>1</v>
      </c>
    </row>
    <row r="35" spans="1:5" x14ac:dyDescent="0.35">
      <c r="A35" s="7" t="s">
        <v>73</v>
      </c>
      <c r="B35" s="17">
        <v>1</v>
      </c>
      <c r="C35" s="9" t="s">
        <v>74</v>
      </c>
      <c r="D35" s="8" t="s">
        <v>75</v>
      </c>
      <c r="E35" s="17">
        <f>SUMIFS(E36:E58,A36:A58,"4.*",B36:B58,3)</f>
        <v>5.5</v>
      </c>
    </row>
    <row r="36" spans="1:5" x14ac:dyDescent="0.35">
      <c r="A36" s="10" t="s">
        <v>76</v>
      </c>
      <c r="B36" s="18">
        <v>2</v>
      </c>
      <c r="C36" s="12" t="s">
        <v>77</v>
      </c>
      <c r="D36" s="11"/>
      <c r="E36" s="18">
        <f>SUMIFS(E37:E58,A37:A58,"4.1.*",B37:B58,3)</f>
        <v>2</v>
      </c>
    </row>
    <row r="37" spans="1:5" x14ac:dyDescent="0.35">
      <c r="A37" s="13" t="s">
        <v>78</v>
      </c>
      <c r="B37" s="19">
        <v>3</v>
      </c>
      <c r="C37" s="15" t="s">
        <v>79</v>
      </c>
      <c r="D37" s="14" t="s">
        <v>80</v>
      </c>
      <c r="E37" s="19">
        <v>0.5</v>
      </c>
    </row>
    <row r="38" spans="1:5" x14ac:dyDescent="0.35">
      <c r="A38" s="13" t="s">
        <v>81</v>
      </c>
      <c r="B38" s="19">
        <v>3</v>
      </c>
      <c r="C38" s="15" t="s">
        <v>82</v>
      </c>
      <c r="D38" s="14" t="s">
        <v>80</v>
      </c>
      <c r="E38" s="19">
        <v>1</v>
      </c>
    </row>
    <row r="39" spans="1:5" x14ac:dyDescent="0.35">
      <c r="A39" s="13" t="s">
        <v>83</v>
      </c>
      <c r="B39" s="19">
        <v>3</v>
      </c>
      <c r="C39" s="15" t="s">
        <v>84</v>
      </c>
      <c r="D39" s="14" t="s">
        <v>80</v>
      </c>
      <c r="E39" s="19">
        <v>0.5</v>
      </c>
    </row>
    <row r="40" spans="1:5" x14ac:dyDescent="0.35">
      <c r="A40" s="10" t="s">
        <v>85</v>
      </c>
      <c r="B40" s="18">
        <v>2</v>
      </c>
      <c r="C40" s="12" t="s">
        <v>86</v>
      </c>
      <c r="D40" s="11"/>
      <c r="E40" s="18">
        <f>SUMIFS(E41:E58,A41:A58,"4.2.*",B41:B58,3)</f>
        <v>2</v>
      </c>
    </row>
    <row r="41" spans="1:5" x14ac:dyDescent="0.35">
      <c r="A41" s="13" t="s">
        <v>87</v>
      </c>
      <c r="B41" s="19">
        <v>3</v>
      </c>
      <c r="C41" s="15" t="s">
        <v>88</v>
      </c>
      <c r="D41" s="14" t="s">
        <v>89</v>
      </c>
      <c r="E41" s="19">
        <v>1.5</v>
      </c>
    </row>
    <row r="42" spans="1:5" x14ac:dyDescent="0.35">
      <c r="A42" s="13" t="s">
        <v>90</v>
      </c>
      <c r="B42" s="19">
        <v>3</v>
      </c>
      <c r="C42" s="15" t="s">
        <v>91</v>
      </c>
      <c r="D42" s="14" t="s">
        <v>80</v>
      </c>
      <c r="E42" s="19">
        <v>0.5</v>
      </c>
    </row>
    <row r="43" spans="1:5" x14ac:dyDescent="0.35">
      <c r="A43" s="10" t="s">
        <v>92</v>
      </c>
      <c r="B43" s="18">
        <v>2</v>
      </c>
      <c r="C43" s="12" t="s">
        <v>93</v>
      </c>
      <c r="D43" s="11"/>
      <c r="E43" s="18">
        <f>SUMIFS(E44:E58,A44:A58,"4.3.*",B44:B58,3)</f>
        <v>0.75</v>
      </c>
    </row>
    <row r="44" spans="1:5" x14ac:dyDescent="0.35">
      <c r="A44" s="13" t="s">
        <v>94</v>
      </c>
      <c r="B44" s="19">
        <v>3</v>
      </c>
      <c r="C44" s="15" t="s">
        <v>95</v>
      </c>
      <c r="D44" s="14" t="s">
        <v>80</v>
      </c>
      <c r="E44" s="19">
        <v>0.5</v>
      </c>
    </row>
    <row r="45" spans="1:5" x14ac:dyDescent="0.35">
      <c r="A45" s="13" t="s">
        <v>96</v>
      </c>
      <c r="B45" s="19">
        <v>3</v>
      </c>
      <c r="C45" s="15" t="s">
        <v>97</v>
      </c>
      <c r="D45" s="14" t="s">
        <v>80</v>
      </c>
      <c r="E45" s="19">
        <v>0.25</v>
      </c>
    </row>
    <row r="46" spans="1:5" x14ac:dyDescent="0.35">
      <c r="A46" s="10" t="s">
        <v>98</v>
      </c>
      <c r="B46" s="18">
        <v>2</v>
      </c>
      <c r="C46" s="12" t="s">
        <v>99</v>
      </c>
      <c r="D46" s="11"/>
      <c r="E46" s="18">
        <f>SUMIFS(E47:E58,A47:A58,"4.4.*",B47:B58,3)</f>
        <v>0.75</v>
      </c>
    </row>
    <row r="47" spans="1:5" x14ac:dyDescent="0.35">
      <c r="A47" s="13" t="s">
        <v>100</v>
      </c>
      <c r="B47" s="19">
        <v>3</v>
      </c>
      <c r="C47" s="15" t="s">
        <v>101</v>
      </c>
      <c r="D47" s="14" t="s">
        <v>80</v>
      </c>
      <c r="E47" s="19">
        <v>0.5</v>
      </c>
    </row>
    <row r="48" spans="1:5" x14ac:dyDescent="0.35">
      <c r="A48" s="13" t="s">
        <v>102</v>
      </c>
      <c r="B48" s="19">
        <v>3</v>
      </c>
      <c r="C48" s="15" t="s">
        <v>103</v>
      </c>
      <c r="D48" s="14" t="s">
        <v>9</v>
      </c>
      <c r="E48" s="19">
        <v>0.25</v>
      </c>
    </row>
    <row r="49" spans="1:5" x14ac:dyDescent="0.35">
      <c r="A49" s="7" t="s">
        <v>104</v>
      </c>
      <c r="B49" s="17">
        <v>1</v>
      </c>
      <c r="C49" s="9" t="s">
        <v>105</v>
      </c>
      <c r="D49" s="8" t="s">
        <v>9</v>
      </c>
      <c r="E49" s="17">
        <f>SUMIFS(E50:E58,A50:A58,"5.*",B50:B58,3)</f>
        <v>4.25</v>
      </c>
    </row>
    <row r="50" spans="1:5" x14ac:dyDescent="0.35">
      <c r="A50" s="10" t="s">
        <v>106</v>
      </c>
      <c r="B50" s="18">
        <v>2</v>
      </c>
      <c r="C50" s="12" t="s">
        <v>107</v>
      </c>
      <c r="D50" s="11"/>
      <c r="E50" s="18">
        <f>SUMIFS(E51:E58,A51:A58,"5.1.*",B51:B58,3)</f>
        <v>1.5</v>
      </c>
    </row>
    <row r="51" spans="1:5" x14ac:dyDescent="0.35">
      <c r="A51" s="13" t="s">
        <v>108</v>
      </c>
      <c r="B51" s="19">
        <v>3</v>
      </c>
      <c r="C51" s="15" t="s">
        <v>109</v>
      </c>
      <c r="D51" s="14" t="s">
        <v>110</v>
      </c>
      <c r="E51" s="19">
        <v>0.5</v>
      </c>
    </row>
    <row r="52" spans="1:5" x14ac:dyDescent="0.35">
      <c r="A52" s="13" t="s">
        <v>111</v>
      </c>
      <c r="B52" s="19">
        <v>3</v>
      </c>
      <c r="C52" s="15" t="s">
        <v>112</v>
      </c>
      <c r="D52" s="14" t="s">
        <v>110</v>
      </c>
      <c r="E52" s="19">
        <v>1</v>
      </c>
    </row>
    <row r="53" spans="1:5" x14ac:dyDescent="0.35">
      <c r="A53" s="10" t="s">
        <v>113</v>
      </c>
      <c r="B53" s="18">
        <v>2</v>
      </c>
      <c r="C53" s="12" t="s">
        <v>114</v>
      </c>
      <c r="D53" s="11"/>
      <c r="E53" s="18">
        <f>SUMIFS(E54:E58,A54:A58,"5.2.*",B54:B58,3)</f>
        <v>2</v>
      </c>
    </row>
    <row r="54" spans="1:5" x14ac:dyDescent="0.35">
      <c r="A54" s="13" t="s">
        <v>115</v>
      </c>
      <c r="B54" s="19">
        <v>3</v>
      </c>
      <c r="C54" s="15" t="s">
        <v>116</v>
      </c>
      <c r="D54" s="14" t="s">
        <v>117</v>
      </c>
      <c r="E54" s="19">
        <v>1</v>
      </c>
    </row>
    <row r="55" spans="1:5" x14ac:dyDescent="0.35">
      <c r="A55" s="13" t="s">
        <v>118</v>
      </c>
      <c r="B55" s="19">
        <v>3</v>
      </c>
      <c r="C55" s="15" t="s">
        <v>119</v>
      </c>
      <c r="D55" s="14" t="s">
        <v>46</v>
      </c>
      <c r="E55" s="19">
        <v>1</v>
      </c>
    </row>
    <row r="56" spans="1:5" x14ac:dyDescent="0.35">
      <c r="A56" s="10" t="s">
        <v>120</v>
      </c>
      <c r="B56" s="18">
        <v>2</v>
      </c>
      <c r="C56" s="12" t="s">
        <v>121</v>
      </c>
      <c r="D56" s="11"/>
      <c r="E56" s="18">
        <f>SUMIFS(E57:E58,A57:A58,"5.3.*",B57:B58,3)</f>
        <v>0.75</v>
      </c>
    </row>
    <row r="57" spans="1:5" x14ac:dyDescent="0.35">
      <c r="A57" s="13" t="s">
        <v>122</v>
      </c>
      <c r="B57" s="19">
        <v>3</v>
      </c>
      <c r="C57" s="15" t="s">
        <v>123</v>
      </c>
      <c r="D57" s="14" t="s">
        <v>110</v>
      </c>
      <c r="E57" s="19">
        <v>0.5</v>
      </c>
    </row>
    <row r="58" spans="1:5" x14ac:dyDescent="0.35">
      <c r="A58" s="13" t="s">
        <v>124</v>
      </c>
      <c r="B58" s="19">
        <v>3</v>
      </c>
      <c r="C58" s="15" t="s">
        <v>125</v>
      </c>
      <c r="D58" s="14" t="s">
        <v>49</v>
      </c>
      <c r="E58" s="19">
        <v>0.25</v>
      </c>
    </row>
    <row r="60" spans="1:5" x14ac:dyDescent="0.35">
      <c r="A60" s="20" t="s">
        <v>126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E4C21-EE54-4EB3-9529-65325E142A28}">
  <dimension ref="A1:H14"/>
  <sheetViews>
    <sheetView zoomScaleNormal="100" workbookViewId="0"/>
  </sheetViews>
  <sheetFormatPr baseColWidth="10" defaultRowHeight="14.5" x14ac:dyDescent="0.35"/>
  <cols>
    <col min="1" max="1" width="7.6328125" customWidth="1"/>
    <col min="2" max="2" width="40.6328125" customWidth="1"/>
    <col min="3" max="3" width="12.6328125" customWidth="1"/>
    <col min="4" max="5" width="9.6328125" customWidth="1"/>
  </cols>
  <sheetData>
    <row r="1" spans="1:8" ht="18.5" x14ac:dyDescent="0.45">
      <c r="A1" s="1" t="s">
        <v>127</v>
      </c>
    </row>
    <row r="2" spans="1:8" x14ac:dyDescent="0.35">
      <c r="A2" t="s">
        <v>1</v>
      </c>
      <c r="F2" t="s">
        <v>133</v>
      </c>
      <c r="H2" s="21">
        <f>DATE(2026,10,19)</f>
        <v>46314</v>
      </c>
    </row>
    <row r="4" spans="1:8" x14ac:dyDescent="0.35">
      <c r="A4" s="2" t="s">
        <v>128</v>
      </c>
      <c r="B4" s="2" t="s">
        <v>129</v>
      </c>
      <c r="C4" s="2" t="s">
        <v>130</v>
      </c>
      <c r="D4" s="2" t="s">
        <v>131</v>
      </c>
      <c r="E4" s="2" t="s">
        <v>132</v>
      </c>
    </row>
    <row r="5" spans="1:8" x14ac:dyDescent="0.35">
      <c r="A5" s="22" t="s">
        <v>134</v>
      </c>
      <c r="B5" s="3" t="s">
        <v>135</v>
      </c>
      <c r="C5" s="23">
        <f>$H$2</f>
        <v>46314</v>
      </c>
      <c r="D5" s="24">
        <f>INT((C5-$H$2)/7)+1</f>
        <v>1</v>
      </c>
      <c r="E5" s="24">
        <v>1</v>
      </c>
    </row>
    <row r="6" spans="1:8" x14ac:dyDescent="0.35">
      <c r="A6" s="22" t="s">
        <v>136</v>
      </c>
      <c r="B6" s="3" t="s">
        <v>137</v>
      </c>
      <c r="C6" s="23">
        <f>$H$2+4</f>
        <v>46318</v>
      </c>
      <c r="D6" s="24">
        <f>INT((C6-$H$2)/7)+1</f>
        <v>1</v>
      </c>
      <c r="E6" s="24">
        <v>-1</v>
      </c>
    </row>
    <row r="7" spans="1:8" x14ac:dyDescent="0.35">
      <c r="A7" s="22" t="s">
        <v>138</v>
      </c>
      <c r="B7" s="3" t="s">
        <v>139</v>
      </c>
      <c r="C7" s="23">
        <f>$H$2+11</f>
        <v>46325</v>
      </c>
      <c r="D7" s="24">
        <f>INT((C7-$H$2)/7)+1</f>
        <v>2</v>
      </c>
      <c r="E7" s="24">
        <v>1</v>
      </c>
    </row>
    <row r="8" spans="1:8" x14ac:dyDescent="0.35">
      <c r="A8" s="22" t="s">
        <v>140</v>
      </c>
      <c r="B8" s="3" t="s">
        <v>141</v>
      </c>
      <c r="C8" s="23">
        <f>$H$2+18</f>
        <v>46332</v>
      </c>
      <c r="D8" s="24">
        <f>INT((C8-$H$2)/7)+1</f>
        <v>3</v>
      </c>
      <c r="E8" s="24">
        <v>-1</v>
      </c>
    </row>
    <row r="9" spans="1:8" x14ac:dyDescent="0.35">
      <c r="A9" s="22" t="s">
        <v>142</v>
      </c>
      <c r="B9" s="3" t="s">
        <v>143</v>
      </c>
      <c r="C9" s="23">
        <f>$H$2+25</f>
        <v>46339</v>
      </c>
      <c r="D9" s="24">
        <f>INT((C9-$H$2)/7)+1</f>
        <v>4</v>
      </c>
      <c r="E9" s="24">
        <v>1</v>
      </c>
    </row>
    <row r="10" spans="1:8" x14ac:dyDescent="0.35">
      <c r="A10" s="22" t="s">
        <v>144</v>
      </c>
      <c r="B10" s="3" t="s">
        <v>109</v>
      </c>
      <c r="C10" s="23">
        <f>$H$2+37</f>
        <v>46351</v>
      </c>
      <c r="D10" s="24">
        <f>INT((C10-$H$2)/7)+1</f>
        <v>6</v>
      </c>
      <c r="E10" s="24">
        <v>-1</v>
      </c>
    </row>
    <row r="11" spans="1:8" x14ac:dyDescent="0.35">
      <c r="A11" s="22" t="s">
        <v>145</v>
      </c>
      <c r="B11" s="3" t="s">
        <v>146</v>
      </c>
      <c r="C11" s="23">
        <f>$H$2+39</f>
        <v>46353</v>
      </c>
      <c r="D11" s="24">
        <f>INT((C11-$H$2)/7)+1</f>
        <v>6</v>
      </c>
      <c r="E11" s="24">
        <v>1</v>
      </c>
    </row>
    <row r="12" spans="1:8" x14ac:dyDescent="0.35">
      <c r="A12" s="22" t="s">
        <v>147</v>
      </c>
      <c r="B12" s="3" t="s">
        <v>148</v>
      </c>
      <c r="C12" s="23">
        <f>$H$2+46</f>
        <v>46360</v>
      </c>
      <c r="D12" s="24">
        <f>INT((C12-$H$2)/7)+1</f>
        <v>7</v>
      </c>
      <c r="E12" s="24">
        <v>-1</v>
      </c>
    </row>
    <row r="14" spans="1:8" x14ac:dyDescent="0.35">
      <c r="A14" s="20" t="s">
        <v>149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WBS</vt:lpstr>
      <vt:lpstr>Jalons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Nunes</dc:creator>
  <cp:lastModifiedBy>Alessandro Nunes</cp:lastModifiedBy>
  <dcterms:created xsi:type="dcterms:W3CDTF">2026-10-14T08:57:19Z</dcterms:created>
  <dcterms:modified xsi:type="dcterms:W3CDTF">2026-10-14T08:57:35Z</dcterms:modified>
</cp:coreProperties>
</file>