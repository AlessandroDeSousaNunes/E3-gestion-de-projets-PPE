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e8758c4b754eab/Bureau/E3-Gestion-de-projets-PPE/01-techniques-de-gestion-de-projets/rendu-de-sousa-nunes-alessandro/projet-1-charte-decoupage/"/>
    </mc:Choice>
  </mc:AlternateContent>
  <xr:revisionPtr revIDLastSave="3" documentId="8_{2174DCA0-B97B-4A5B-9F1A-32DBED0EED1F}" xr6:coauthVersionLast="47" xr6:coauthVersionMax="47" xr10:uidLastSave="{77F86A64-26AC-4E3E-A6FE-C4CA92446191}"/>
  <bookViews>
    <workbookView xWindow="-110" yWindow="-110" windowWidth="25820" windowHeight="15500" xr2:uid="{7D07BB05-4743-4115-8775-AA102185A654}"/>
  </bookViews>
  <sheets>
    <sheet name="Parties prenantes" sheetId="1" r:id="rId1"/>
    <sheet name="RA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3" i="2" l="1"/>
  <c r="I12" i="2"/>
  <c r="I11" i="2"/>
  <c r="I10" i="2"/>
  <c r="I9" i="2"/>
  <c r="I8" i="2"/>
  <c r="I7" i="2"/>
  <c r="I6" i="2"/>
  <c r="I5" i="2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<sst xmlns="http://schemas.openxmlformats.org/spreadsheetml/2006/main" count="103" uniqueCount="46">
  <si>
    <t>Matrice des parties prenantes (pouvoir / intérêt) - Journée portes ouvertes</t>
  </si>
  <si>
    <t>De Sousa Nunes Alessandro - CFC 3</t>
  </si>
  <si>
    <t>Partie prenante</t>
  </si>
  <si>
    <t>Pouvoir (1-5)</t>
  </si>
  <si>
    <t>Intérêt (1-5)</t>
  </si>
  <si>
    <t>Stratégie</t>
  </si>
  <si>
    <t>Action de communication</t>
  </si>
  <si>
    <t>Direction</t>
  </si>
  <si>
    <t>Point hebdomadaire, validation de chaque jalon</t>
  </si>
  <si>
    <t>Équipe de préparation</t>
  </si>
  <si>
    <t>Réunion de suivi chaque semaine, tâches claires</t>
  </si>
  <si>
    <t>Collaborateurs</t>
  </si>
  <si>
    <t>Information à l'interne dès le J1, planning de présence</t>
  </si>
  <si>
    <t>Clients et partenaires invités</t>
  </si>
  <si>
    <t>Invitation personnalisée, rappel une semaine avant</t>
  </si>
  <si>
    <t>Traiteur</t>
  </si>
  <si>
    <t>Devis écrit, confirmation 2 semaines avant (J4)</t>
  </si>
  <si>
    <t>Gérance de l'immeuble (accès, parking)</t>
  </si>
  <si>
    <t>Demande d'autorisation dès la validation de la charte</t>
  </si>
  <si>
    <t>Voisins</t>
  </si>
  <si>
    <t>Petit mot d'information une semaine avant</t>
  </si>
  <si>
    <t>Presse locale</t>
  </si>
  <si>
    <t>Communiqué envoyé avec les invitations</t>
  </si>
  <si>
    <t>Stratégie calculée par formule : pouvoir et intérêt supérieurs à 3 = élevés.</t>
  </si>
  <si>
    <t>Matrice RACI - Journée portes ouvertes</t>
  </si>
  <si>
    <t>Activité</t>
  </si>
  <si>
    <t>Chef de projet</t>
  </si>
  <si>
    <t>Resp. programme</t>
  </si>
  <si>
    <t>Resp. communication</t>
  </si>
  <si>
    <t>Resp. logistique</t>
  </si>
  <si>
    <t>Informaticien</t>
  </si>
  <si>
    <t>Contrôle (un seul A)</t>
  </si>
  <si>
    <t>Recueil des besoins et charte</t>
  </si>
  <si>
    <t>A</t>
  </si>
  <si>
    <t>R</t>
  </si>
  <si>
    <t>C</t>
  </si>
  <si>
    <t>I</t>
  </si>
  <si>
    <t>Validation du budget</t>
  </si>
  <si>
    <t>Programme de la journée</t>
  </si>
  <si>
    <t>Démonstrations par service</t>
  </si>
  <si>
    <t>Invitations et inscriptions</t>
  </si>
  <si>
    <t>Aménagement, mobilier, traiteur</t>
  </si>
  <si>
    <t>Matériel IT et Wi-Fi invités</t>
  </si>
  <si>
    <t>Répétition générale et jour J</t>
  </si>
  <si>
    <t>Questionnaire et bilan final</t>
  </si>
  <si>
    <t>R = Réalise le travail   |   A = Approuve, rend des comptes (un seul par activité)   |   C = Consulté avant   |   I = Informé après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</si>
</sst>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5">
    <dxf>
      <font>
        <b/>
        <i val="0"/>
        <color rgb="FF008000"/>
      </font>
    </dxf>
    <dxf>
      <font>
        <color rgb="FF000000"/>
      </font>
      <fill>
        <patternFill>
          <bgColor rgb="FFD9D9D9"/>
        </patternFill>
      </fill>
    </dxf>
    <dxf>
      <font>
        <color rgb="FF000000"/>
      </font>
      <fill>
        <patternFill>
          <bgColor rgb="FFF5B25C"/>
        </patternFill>
      </fill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3B78B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CH"/>
              <a:t>Matrice pouvoir / intérêt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Parties prenantes</c:v>
          </c:tx>
          <c:spPr>
            <a:ln w="38100">
              <a:noFill/>
            </a:ln>
          </c:spPr>
          <c:marker>
            <c:symbol val="circle"/>
            <c:size val="10"/>
            <c:spPr>
              <a:solidFill>
                <a:srgbClr val="1F4E79"/>
              </a:solidFill>
              <a:ln>
                <a:solidFill>
                  <a:srgbClr val="1F4E79"/>
                </a:solidFill>
                <a:prstDash val="solid"/>
              </a:ln>
            </c:spPr>
          </c:marker>
          <c:dLbls>
            <c:dLbl>
              <c:idx val="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Direction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97C1-4FB7-B15E-6DF0276521B1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Équipe de préparation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7C1-4FB7-B15E-6DF0276521B1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Collaborateurs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7C1-4FB7-B15E-6DF0276521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Clients et partenaires invités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7C1-4FB7-B15E-6DF0276521B1}"/>
                </c:ext>
              </c:extLst>
            </c:dLbl>
            <c:dLbl>
              <c:idx val="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Traiteur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7C1-4FB7-B15E-6DF0276521B1}"/>
                </c:ext>
              </c:extLst>
            </c:dLbl>
            <c:dLbl>
              <c:idx val="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Gérance de l'immeuble (accès, parking)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7C1-4FB7-B15E-6DF0276521B1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Voisins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7C1-4FB7-B15E-6DF0276521B1}"/>
                </c:ext>
              </c:extLst>
            </c:dLbl>
            <c:dLbl>
              <c:idx val="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900"/>
                    </a:pPr>
                    <a:r>
                      <a:rPr lang="en-US"/>
                      <a:t>Presse locale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7C1-4FB7-B15E-6DF0276521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'Parties prenantes'!$C$5:$C$12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</c:numCache>
            </c:numRef>
          </c:xVal>
          <c:yVal>
            <c:numRef>
              <c:f>'Parties prenantes'!$B$5:$B$12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B7-B15E-6DF027652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99519"/>
        <c:axId val="39156751"/>
      </c:scatterChart>
      <c:valAx>
        <c:axId val="36099519"/>
        <c:scaling>
          <c:orientation val="minMax"/>
          <c:max val="6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CH"/>
                  <a:t>Intérêt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>
            <a:solidFill>
              <a:srgbClr val="808080"/>
            </a:solidFill>
          </a:ln>
        </c:spPr>
        <c:crossAx val="39156751"/>
        <c:crossesAt val="3.5"/>
        <c:crossBetween val="midCat"/>
        <c:majorUnit val="1"/>
      </c:valAx>
      <c:valAx>
        <c:axId val="39156751"/>
        <c:scaling>
          <c:orientation val="minMax"/>
          <c:max val="6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fr-CH"/>
                  <a:t>Pouvoir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spPr>
          <a:ln>
            <a:solidFill>
              <a:srgbClr val="808080"/>
            </a:solidFill>
          </a:ln>
        </c:spPr>
        <c:crossAx val="36099519"/>
        <c:crossesAt val="3.5"/>
        <c:crossBetween val="midCat"/>
        <c:majorUnit val="1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16</xdr:row>
      <xdr:rowOff>107950</xdr:rowOff>
    </xdr:from>
    <xdr:to>
      <xdr:col>4</xdr:col>
      <xdr:colOff>3378200</xdr:colOff>
      <xdr:row>45</xdr:row>
      <xdr:rowOff>101600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DF844ED-BA51-560B-E4AC-097C7A2AB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0.09684</cdr:x>
      <cdr:y>0.12387</cdr:y>
    </cdr:from>
    <cdr:to>
      <cdr:x>0.32541</cdr:x>
      <cdr:y>0.17149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:a16="http://schemas.microsoft.com/office/drawing/2014/main" id="{D3B5DC49-00F4-409D-DDC3-A6E833F2C089}"/>
            </a:ext>
          </a:extLst>
        </cdr:cNvPr>
        <cdr:cNvSpPr txBox="1"/>
      </cdr:nvSpPr>
      <cdr:spPr>
        <a:xfrm xmlns:a="http://schemas.openxmlformats.org/drawingml/2006/main">
          <a:off x="860880" y="660721"/>
          <a:ext cx="2032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fr-CH" sz="1100" b="1" kern="1200">
              <a:solidFill>
                <a:srgbClr val="3B78B5"/>
              </a:solidFill>
            </a:rPr>
            <a:t>Maintenir satisfait</a:t>
          </a:r>
        </a:p>
      </cdr:txBody>
    </cdr:sp>
  </cdr:relSizeAnchor>
  <cdr:relSizeAnchor xmlns:cdr="http://schemas.openxmlformats.org/drawingml/2006/chartDrawing">
    <cdr:from>
      <cdr:x>0.63082</cdr:x>
      <cdr:y>0.12387</cdr:y>
    </cdr:from>
    <cdr:to>
      <cdr:x>0.85939</cdr:x>
      <cdr:y>0.17149</cdr:y>
    </cdr:to>
    <cdr:sp macro="" textlink="">
      <cdr:nvSpPr>
        <cdr:cNvPr id="3" name="ZoneTexte 2">
          <a:extLst xmlns:a="http://schemas.openxmlformats.org/drawingml/2006/main">
            <a:ext uri="{FF2B5EF4-FFF2-40B4-BE49-F238E27FC236}">
              <a16:creationId xmlns:a16="http://schemas.microsoft.com/office/drawing/2014/main" id="{F1B2F138-2D33-DE37-A2F5-B679EB7AB8F3}"/>
            </a:ext>
          </a:extLst>
        </cdr:cNvPr>
        <cdr:cNvSpPr txBox="1"/>
      </cdr:nvSpPr>
      <cdr:spPr>
        <a:xfrm xmlns:a="http://schemas.openxmlformats.org/drawingml/2006/main">
          <a:off x="5607954" y="660721"/>
          <a:ext cx="2032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fr-CH" sz="1100" b="1" kern="1200">
              <a:solidFill>
                <a:srgbClr val="3B78B5"/>
              </a:solidFill>
            </a:rPr>
            <a:t>Gérer étroitement</a:t>
          </a:r>
        </a:p>
      </cdr:txBody>
    </cdr:sp>
  </cdr:relSizeAnchor>
  <cdr:relSizeAnchor xmlns:cdr="http://schemas.openxmlformats.org/drawingml/2006/chartDrawing">
    <cdr:from>
      <cdr:x>0.09684</cdr:x>
      <cdr:y>0.79528</cdr:y>
    </cdr:from>
    <cdr:to>
      <cdr:x>0.32541</cdr:x>
      <cdr:y>0.8429</cdr:y>
    </cdr:to>
    <cdr:sp macro="" textlink="">
      <cdr:nvSpPr>
        <cdr:cNvPr id="4" name="ZoneTexte 3">
          <a:extLst xmlns:a="http://schemas.openxmlformats.org/drawingml/2006/main">
            <a:ext uri="{FF2B5EF4-FFF2-40B4-BE49-F238E27FC236}">
              <a16:creationId xmlns:a16="http://schemas.microsoft.com/office/drawing/2014/main" id="{C207EB5F-D3E1-F4FA-115D-4C6EB324A58B}"/>
            </a:ext>
          </a:extLst>
        </cdr:cNvPr>
        <cdr:cNvSpPr txBox="1"/>
      </cdr:nvSpPr>
      <cdr:spPr>
        <a:xfrm xmlns:a="http://schemas.openxmlformats.org/drawingml/2006/main">
          <a:off x="860880" y="4242042"/>
          <a:ext cx="2032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fr-CH" sz="1100" b="1" kern="1200">
              <a:solidFill>
                <a:srgbClr val="3B78B5"/>
              </a:solidFill>
            </a:rPr>
            <a:t>Surveiller</a:t>
          </a:r>
        </a:p>
      </cdr:txBody>
    </cdr:sp>
  </cdr:relSizeAnchor>
  <cdr:relSizeAnchor xmlns:cdr="http://schemas.openxmlformats.org/drawingml/2006/chartDrawing">
    <cdr:from>
      <cdr:x>0.63082</cdr:x>
      <cdr:y>0.79528</cdr:y>
    </cdr:from>
    <cdr:to>
      <cdr:x>0.85939</cdr:x>
      <cdr:y>0.8429</cdr:y>
    </cdr:to>
    <cdr:sp macro="" textlink="">
      <cdr:nvSpPr>
        <cdr:cNvPr id="5" name="ZoneTexte 4">
          <a:extLst xmlns:a="http://schemas.openxmlformats.org/drawingml/2006/main">
            <a:ext uri="{FF2B5EF4-FFF2-40B4-BE49-F238E27FC236}">
              <a16:creationId xmlns:a16="http://schemas.microsoft.com/office/drawing/2014/main" id="{E78ACF8E-1841-0A74-A139-12FA23C723F6}"/>
            </a:ext>
          </a:extLst>
        </cdr:cNvPr>
        <cdr:cNvSpPr txBox="1"/>
      </cdr:nvSpPr>
      <cdr:spPr>
        <a:xfrm xmlns:a="http://schemas.openxmlformats.org/drawingml/2006/main">
          <a:off x="5607954" y="4242042"/>
          <a:ext cx="2032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fr-CH" sz="1100" b="1" kern="1200">
              <a:solidFill>
                <a:srgbClr val="3B78B5"/>
              </a:solidFill>
            </a:rPr>
            <a:t>Tenir informé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C734-06BD-4136-9F66-54DF635027AC}">
  <dimension ref="A1:E14"/>
  <sheetViews>
    <sheetView tabSelected="1" zoomScaleNormal="100" workbookViewId="0"/>
  </sheetViews>
  <sheetFormatPr baseColWidth="10" defaultRowHeight="14.5" x14ac:dyDescent="0.35"/>
  <cols>
    <col min="1" max="1" width="36.6328125" customWidth="1"/>
    <col min="2" max="3" width="12.6328125" customWidth="1"/>
    <col min="4" max="4" width="20.6328125" customWidth="1"/>
    <col min="5" max="5" width="52.6328125" customWidth="1"/>
  </cols>
  <sheetData>
    <row r="1" spans="1:5" ht="18.5" x14ac:dyDescent="0.45">
      <c r="A1" s="1" t="s">
        <v>0</v>
      </c>
    </row>
    <row r="2" spans="1:5" x14ac:dyDescent="0.35">
      <c r="A2" t="s">
        <v>1</v>
      </c>
    </row>
    <row r="4" spans="1:5" ht="30" customHeight="1" x14ac:dyDescent="0.35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5">
      <c r="A5" s="4" t="s">
        <v>7</v>
      </c>
      <c r="B5" s="5">
        <v>5</v>
      </c>
      <c r="C5" s="5">
        <v>5</v>
      </c>
      <c r="D5" s="5" t="str">
        <f>IF(AND(B5&gt;3,C5&gt;3),"Gérer étroitement",IF(B5&gt;3,"Maintenir satisfait",IF(C5&gt;3,"Tenir informé","Surveiller")))</f>
        <v>Gérer étroitement</v>
      </c>
      <c r="E5" s="4" t="s">
        <v>8</v>
      </c>
    </row>
    <row r="6" spans="1:5" x14ac:dyDescent="0.35">
      <c r="A6" s="4" t="s">
        <v>9</v>
      </c>
      <c r="B6" s="5">
        <v>3</v>
      </c>
      <c r="C6" s="5">
        <v>5</v>
      </c>
      <c r="D6" s="5" t="str">
        <f>IF(AND(B6&gt;3,C6&gt;3),"Gérer étroitement",IF(B6&gt;3,"Maintenir satisfait",IF(C6&gt;3,"Tenir informé","Surveiller")))</f>
        <v>Tenir informé</v>
      </c>
      <c r="E6" s="4" t="s">
        <v>10</v>
      </c>
    </row>
    <row r="7" spans="1:5" x14ac:dyDescent="0.35">
      <c r="A7" s="4" t="s">
        <v>11</v>
      </c>
      <c r="B7" s="5">
        <v>2</v>
      </c>
      <c r="C7" s="5">
        <v>4</v>
      </c>
      <c r="D7" s="5" t="str">
        <f>IF(AND(B7&gt;3,C7&gt;3),"Gérer étroitement",IF(B7&gt;3,"Maintenir satisfait",IF(C7&gt;3,"Tenir informé","Surveiller")))</f>
        <v>Tenir informé</v>
      </c>
      <c r="E7" s="4" t="s">
        <v>12</v>
      </c>
    </row>
    <row r="8" spans="1:5" x14ac:dyDescent="0.35">
      <c r="A8" s="4" t="s">
        <v>13</v>
      </c>
      <c r="B8" s="5">
        <v>3</v>
      </c>
      <c r="C8" s="5">
        <v>4</v>
      </c>
      <c r="D8" s="5" t="str">
        <f>IF(AND(B8&gt;3,C8&gt;3),"Gérer étroitement",IF(B8&gt;3,"Maintenir satisfait",IF(C8&gt;3,"Tenir informé","Surveiller")))</f>
        <v>Tenir informé</v>
      </c>
      <c r="E8" s="4" t="s">
        <v>14</v>
      </c>
    </row>
    <row r="9" spans="1:5" x14ac:dyDescent="0.35">
      <c r="A9" s="4" t="s">
        <v>15</v>
      </c>
      <c r="B9" s="5">
        <v>4</v>
      </c>
      <c r="C9" s="5">
        <v>2</v>
      </c>
      <c r="D9" s="5" t="str">
        <f>IF(AND(B9&gt;3,C9&gt;3),"Gérer étroitement",IF(B9&gt;3,"Maintenir satisfait",IF(C9&gt;3,"Tenir informé","Surveiller")))</f>
        <v>Maintenir satisfait</v>
      </c>
      <c r="E9" s="4" t="s">
        <v>16</v>
      </c>
    </row>
    <row r="10" spans="1:5" x14ac:dyDescent="0.35">
      <c r="A10" s="4" t="s">
        <v>17</v>
      </c>
      <c r="B10" s="5">
        <v>4</v>
      </c>
      <c r="C10" s="5">
        <v>1</v>
      </c>
      <c r="D10" s="5" t="str">
        <f>IF(AND(B10&gt;3,C10&gt;3),"Gérer étroitement",IF(B10&gt;3,"Maintenir satisfait",IF(C10&gt;3,"Tenir informé","Surveiller")))</f>
        <v>Maintenir satisfait</v>
      </c>
      <c r="E10" s="4" t="s">
        <v>18</v>
      </c>
    </row>
    <row r="11" spans="1:5" x14ac:dyDescent="0.35">
      <c r="A11" s="4" t="s">
        <v>19</v>
      </c>
      <c r="B11" s="5">
        <v>1</v>
      </c>
      <c r="C11" s="5">
        <v>2</v>
      </c>
      <c r="D11" s="5" t="str">
        <f>IF(AND(B11&gt;3,C11&gt;3),"Gérer étroitement",IF(B11&gt;3,"Maintenir satisfait",IF(C11&gt;3,"Tenir informé","Surveiller")))</f>
        <v>Surveiller</v>
      </c>
      <c r="E11" s="4" t="s">
        <v>20</v>
      </c>
    </row>
    <row r="12" spans="1:5" x14ac:dyDescent="0.35">
      <c r="A12" s="4" t="s">
        <v>21</v>
      </c>
      <c r="B12" s="5">
        <v>2</v>
      </c>
      <c r="C12" s="5">
        <v>2</v>
      </c>
      <c r="D12" s="5" t="str">
        <f>IF(AND(B12&gt;3,C12&gt;3),"Gérer étroitement",IF(B12&gt;3,"Maintenir satisfait",IF(C12&gt;3,"Tenir informé","Surveiller")))</f>
        <v>Surveiller</v>
      </c>
      <c r="E12" s="4" t="s">
        <v>22</v>
      </c>
    </row>
    <row r="14" spans="1:5" x14ac:dyDescent="0.35">
      <c r="A14" s="6" t="s">
        <v>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9A83A-F112-47A0-9A3A-F6048DB955CD}">
  <dimension ref="A1:I15"/>
  <sheetViews>
    <sheetView workbookViewId="0"/>
  </sheetViews>
  <sheetFormatPr baseColWidth="10" defaultRowHeight="14.5" x14ac:dyDescent="0.35"/>
  <cols>
    <col min="1" max="1" width="44.6328125" customWidth="1"/>
    <col min="2" max="9" width="14.6328125" customWidth="1"/>
  </cols>
  <sheetData>
    <row r="1" spans="1:9" ht="18.5" x14ac:dyDescent="0.45">
      <c r="A1" s="1" t="s">
        <v>24</v>
      </c>
    </row>
    <row r="2" spans="1:9" x14ac:dyDescent="0.35">
      <c r="A2" t="s">
        <v>1</v>
      </c>
    </row>
    <row r="4" spans="1:9" ht="34" customHeight="1" x14ac:dyDescent="0.35">
      <c r="A4" s="2" t="s">
        <v>25</v>
      </c>
      <c r="B4" s="3" t="s">
        <v>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11</v>
      </c>
      <c r="I4" s="3" t="s">
        <v>31</v>
      </c>
    </row>
    <row r="5" spans="1:9" ht="22" customHeight="1" x14ac:dyDescent="0.4">
      <c r="A5" s="8" t="s">
        <v>32</v>
      </c>
      <c r="B5" s="7" t="s">
        <v>33</v>
      </c>
      <c r="C5" s="7" t="s">
        <v>34</v>
      </c>
      <c r="D5" s="7" t="s">
        <v>35</v>
      </c>
      <c r="E5" s="7" t="s">
        <v>35</v>
      </c>
      <c r="F5" s="7" t="s">
        <v>35</v>
      </c>
      <c r="G5" s="7" t="s">
        <v>36</v>
      </c>
      <c r="H5" s="7" t="s">
        <v>36</v>
      </c>
      <c r="I5" s="5" t="str">
        <f>IF(COUNTIF(B5:H5,"A")=1,"OK","Erreur")</f>
        <v>OK</v>
      </c>
    </row>
    <row r="6" spans="1:9" ht="22" customHeight="1" x14ac:dyDescent="0.4">
      <c r="A6" s="8" t="s">
        <v>37</v>
      </c>
      <c r="B6" s="7" t="s">
        <v>33</v>
      </c>
      <c r="C6" s="7" t="s">
        <v>34</v>
      </c>
      <c r="D6" s="7" t="s">
        <v>36</v>
      </c>
      <c r="E6" s="7" t="s">
        <v>36</v>
      </c>
      <c r="F6" s="7" t="s">
        <v>36</v>
      </c>
      <c r="G6" s="7"/>
      <c r="H6" s="7"/>
      <c r="I6" s="5" t="str">
        <f>IF(COUNTIF(B6:H6,"A")=1,"OK","Erreur")</f>
        <v>OK</v>
      </c>
    </row>
    <row r="7" spans="1:9" ht="22" customHeight="1" x14ac:dyDescent="0.4">
      <c r="A7" s="8" t="s">
        <v>38</v>
      </c>
      <c r="B7" s="7" t="s">
        <v>35</v>
      </c>
      <c r="C7" s="7" t="s">
        <v>33</v>
      </c>
      <c r="D7" s="7" t="s">
        <v>34</v>
      </c>
      <c r="E7" s="7" t="s">
        <v>35</v>
      </c>
      <c r="F7" s="7" t="s">
        <v>35</v>
      </c>
      <c r="G7" s="7" t="s">
        <v>36</v>
      </c>
      <c r="H7" s="7" t="s">
        <v>35</v>
      </c>
      <c r="I7" s="5" t="str">
        <f>IF(COUNTIF(B7:H7,"A")=1,"OK","Erreur")</f>
        <v>OK</v>
      </c>
    </row>
    <row r="8" spans="1:9" ht="22" customHeight="1" x14ac:dyDescent="0.4">
      <c r="A8" s="8" t="s">
        <v>39</v>
      </c>
      <c r="B8" s="7" t="s">
        <v>36</v>
      </c>
      <c r="C8" s="7" t="s">
        <v>33</v>
      </c>
      <c r="D8" s="7" t="s">
        <v>34</v>
      </c>
      <c r="E8" s="7" t="s">
        <v>36</v>
      </c>
      <c r="F8" s="7" t="s">
        <v>36</v>
      </c>
      <c r="G8" s="7" t="s">
        <v>35</v>
      </c>
      <c r="H8" s="7" t="s">
        <v>34</v>
      </c>
      <c r="I8" s="5" t="str">
        <f>IF(COUNTIF(B8:H8,"A")=1,"OK","Erreur")</f>
        <v>OK</v>
      </c>
    </row>
    <row r="9" spans="1:9" ht="22" customHeight="1" x14ac:dyDescent="0.4">
      <c r="A9" s="8" t="s">
        <v>40</v>
      </c>
      <c r="B9" s="7" t="s">
        <v>35</v>
      </c>
      <c r="C9" s="7" t="s">
        <v>33</v>
      </c>
      <c r="D9" s="7" t="s">
        <v>36</v>
      </c>
      <c r="E9" s="7" t="s">
        <v>34</v>
      </c>
      <c r="F9" s="7" t="s">
        <v>36</v>
      </c>
      <c r="G9" s="7" t="s">
        <v>35</v>
      </c>
      <c r="H9" s="7" t="s">
        <v>36</v>
      </c>
      <c r="I9" s="5" t="str">
        <f>IF(COUNTIF(B9:H9,"A")=1,"OK","Erreur")</f>
        <v>OK</v>
      </c>
    </row>
    <row r="10" spans="1:9" ht="22" customHeight="1" x14ac:dyDescent="0.4">
      <c r="A10" s="8" t="s">
        <v>41</v>
      </c>
      <c r="B10" s="7" t="s">
        <v>36</v>
      </c>
      <c r="C10" s="7" t="s">
        <v>33</v>
      </c>
      <c r="D10" s="7" t="s">
        <v>35</v>
      </c>
      <c r="E10" s="7" t="s">
        <v>36</v>
      </c>
      <c r="F10" s="7" t="s">
        <v>34</v>
      </c>
      <c r="G10" s="7" t="s">
        <v>35</v>
      </c>
      <c r="H10" s="7" t="s">
        <v>36</v>
      </c>
      <c r="I10" s="5" t="str">
        <f>IF(COUNTIF(B10:H10,"A")=1,"OK","Erreur")</f>
        <v>OK</v>
      </c>
    </row>
    <row r="11" spans="1:9" ht="22" customHeight="1" x14ac:dyDescent="0.4">
      <c r="A11" s="8" t="s">
        <v>42</v>
      </c>
      <c r="B11" s="7"/>
      <c r="C11" s="7" t="s">
        <v>33</v>
      </c>
      <c r="D11" s="7" t="s">
        <v>35</v>
      </c>
      <c r="E11" s="7"/>
      <c r="F11" s="7" t="s">
        <v>35</v>
      </c>
      <c r="G11" s="7" t="s">
        <v>34</v>
      </c>
      <c r="H11" s="7"/>
      <c r="I11" s="5" t="str">
        <f>IF(COUNTIF(B11:H11,"A")=1,"OK","Erreur")</f>
        <v>OK</v>
      </c>
    </row>
    <row r="12" spans="1:9" ht="22" customHeight="1" x14ac:dyDescent="0.4">
      <c r="A12" s="8" t="s">
        <v>43</v>
      </c>
      <c r="B12" s="7" t="s">
        <v>36</v>
      </c>
      <c r="C12" s="7" t="s">
        <v>33</v>
      </c>
      <c r="D12" s="7" t="s">
        <v>34</v>
      </c>
      <c r="E12" s="7" t="s">
        <v>34</v>
      </c>
      <c r="F12" s="7" t="s">
        <v>34</v>
      </c>
      <c r="G12" s="7" t="s">
        <v>34</v>
      </c>
      <c r="H12" s="7" t="s">
        <v>34</v>
      </c>
      <c r="I12" s="5" t="str">
        <f>IF(COUNTIF(B12:H12,"A")=1,"OK","Erreur")</f>
        <v>OK</v>
      </c>
    </row>
    <row r="13" spans="1:9" ht="22" customHeight="1" x14ac:dyDescent="0.4">
      <c r="A13" s="8" t="s">
        <v>44</v>
      </c>
      <c r="B13" s="7" t="s">
        <v>33</v>
      </c>
      <c r="C13" s="7" t="s">
        <v>34</v>
      </c>
      <c r="D13" s="7" t="s">
        <v>35</v>
      </c>
      <c r="E13" s="7" t="s">
        <v>35</v>
      </c>
      <c r="F13" s="7" t="s">
        <v>35</v>
      </c>
      <c r="G13" s="7" t="s">
        <v>36</v>
      </c>
      <c r="H13" s="7" t="s">
        <v>36</v>
      </c>
      <c r="I13" s="5" t="str">
        <f>IF(COUNTIF(B13:H13,"A")=1,"OK","Erreur")</f>
        <v>OK</v>
      </c>
    </row>
    <row r="15" spans="1:9" x14ac:dyDescent="0.35">
      <c r="A15" s="6" t="s">
        <v>45</v>
      </c>
    </row>
  </sheetData>
  <conditionalFormatting sqref="B5:H13">
    <cfRule type="cellIs" dxfId="4" priority="1" stopIfTrue="1" operator="equal">
      <formula>"R"</formula>
    </cfRule>
    <cfRule type="cellIs" dxfId="3" priority="2" stopIfTrue="1" operator="equal">
      <formula>"A"</formula>
    </cfRule>
    <cfRule type="cellIs" dxfId="2" priority="3" stopIfTrue="1" operator="equal">
      <formula>"C"</formula>
    </cfRule>
    <cfRule type="cellIs" dxfId="1" priority="4" stopIfTrue="1" operator="equal">
      <formula>"I"</formula>
    </cfRule>
  </conditionalFormatting>
  <conditionalFormatting sqref="I5:I13">
    <cfRule type="cellIs" dxfId="0" priority="5" stopIfTrue="1" operator="equal">
      <formula>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Parties prenantes</vt:lpstr>
      <vt:lpstr>RACI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Nunes</dc:creator>
  <cp:lastModifiedBy>Alessandro Nunes</cp:lastModifiedBy>
  <dcterms:created xsi:type="dcterms:W3CDTF">2026-10-14T09:53:12Z</dcterms:created>
  <dcterms:modified xsi:type="dcterms:W3CDTF">2026-10-14T09:53:21Z</dcterms:modified>
</cp:coreProperties>
</file>