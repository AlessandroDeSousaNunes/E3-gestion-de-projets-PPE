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projet-5-pilotage-complet/"/>
    </mc:Choice>
  </mc:AlternateContent>
  <xr:revisionPtr revIDLastSave="135" documentId="8_{86021EC6-7D5C-4367-A41C-31001EC01B41}" xr6:coauthVersionLast="47" xr6:coauthVersionMax="47" xr10:uidLastSave="{5DF0347C-6410-45FA-9194-D2327CE6F71F}"/>
  <bookViews>
    <workbookView xWindow="-110" yWindow="-110" windowWidth="25820" windowHeight="15500" xr2:uid="{3C127EF1-88B8-41E3-BCCF-74B7726C9B37}"/>
  </bookViews>
  <sheets>
    <sheet name="Budget" sheetId="1" r:id="rId1"/>
    <sheet name="Planning" sheetId="2" r:id="rId2"/>
    <sheet name="Suivi" sheetId="3" r:id="rId3"/>
    <sheet name="Risques" sheetId="4" r:id="rId4"/>
    <sheet name="RAC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" i="5" l="1"/>
  <c r="H12" i="5"/>
  <c r="H11" i="5"/>
  <c r="H10" i="5"/>
  <c r="H9" i="5"/>
  <c r="H8" i="5"/>
  <c r="H7" i="5"/>
  <c r="H6" i="5"/>
  <c r="H5" i="5"/>
  <c r="E10" i="3"/>
  <c r="E9" i="4"/>
  <c r="E8" i="4"/>
  <c r="E7" i="4"/>
  <c r="E6" i="4"/>
  <c r="E5" i="4"/>
  <c r="B11" i="3"/>
  <c r="B10" i="3"/>
  <c r="F9" i="3"/>
  <c r="H9" i="3" s="1"/>
  <c r="I9" i="3" s="1"/>
  <c r="D9" i="3"/>
  <c r="C9" i="3"/>
  <c r="B9" i="3"/>
  <c r="F8" i="3"/>
  <c r="H8" i="3" s="1"/>
  <c r="I8" i="3" s="1"/>
  <c r="D8" i="3"/>
  <c r="C8" i="3"/>
  <c r="B8" i="3"/>
  <c r="F7" i="3"/>
  <c r="H7" i="3" s="1"/>
  <c r="I7" i="3" s="1"/>
  <c r="D7" i="3"/>
  <c r="C7" i="3"/>
  <c r="B7" i="3"/>
  <c r="F6" i="3"/>
  <c r="H6" i="3" s="1"/>
  <c r="I6" i="3" s="1"/>
  <c r="D6" i="3"/>
  <c r="C6" i="3"/>
  <c r="B6" i="3"/>
  <c r="F5" i="3"/>
  <c r="H5" i="3" s="1"/>
  <c r="I5" i="3" s="1"/>
  <c r="D5" i="3"/>
  <c r="C5" i="3"/>
  <c r="B5" i="3"/>
  <c r="I16" i="1"/>
  <c r="I15" i="1"/>
  <c r="I14" i="1"/>
  <c r="H14" i="1"/>
  <c r="G14" i="1"/>
  <c r="F14" i="1"/>
  <c r="E14" i="1"/>
  <c r="D14" i="1"/>
  <c r="C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</calcChain>
</file>

<file path=xl/sharedStrings.xml><?xml version="1.0" encoding="utf-8"?>
<sst xmlns="http://schemas.openxmlformats.org/spreadsheetml/2006/main" count="177" uniqueCount="102">
  <si>
    <t>Budget prévisionnel - Mise en place d'un wiki interne</t>
  </si>
  <si>
    <t>De Sousa Nunes Alessandro - CFC 3</t>
  </si>
  <si>
    <t>Lot de travail</t>
  </si>
  <si>
    <t>Jours</t>
  </si>
  <si>
    <t>Chef de projet (h)</t>
  </si>
  <si>
    <t>Admin système (h)</t>
  </si>
  <si>
    <t>Développeur (h)</t>
  </si>
  <si>
    <t>Référent métier (h)</t>
  </si>
  <si>
    <t>Coût main-d'oeuvre (CHF)</t>
  </si>
  <si>
    <t>Autres coûts (CHF)</t>
  </si>
  <si>
    <t>Total (CHF)</t>
  </si>
  <si>
    <t>Tarif horaire (CHF)</t>
  </si>
  <si>
    <t>L1 - Cadrage et lancement</t>
  </si>
  <si>
    <t>J1</t>
  </si>
  <si>
    <t>L2 - Installation du serveur et du wiki</t>
  </si>
  <si>
    <t>J1-J2</t>
  </si>
  <si>
    <t>L3 - Configuration (droits, connexion des comptes)</t>
  </si>
  <si>
    <t>J2-J3</t>
  </si>
  <si>
    <t>L4 - Reprise des documents existants</t>
  </si>
  <si>
    <t>J3-J4</t>
  </si>
  <si>
    <t>L5 - Tests et recette</t>
  </si>
  <si>
    <t>J4-J5</t>
  </si>
  <si>
    <t>L6 - Formation des utilisateurs</t>
  </si>
  <si>
    <t>J5</t>
  </si>
  <si>
    <t>L7 - Pilotage et reporting</t>
  </si>
  <si>
    <t>J1-J5</t>
  </si>
  <si>
    <t>L8 - Machine virtuelle et nom de domaine (1re année)</t>
  </si>
  <si>
    <t>Sous-total</t>
  </si>
  <si>
    <t>Réserve pour imprévus (10 %)</t>
  </si>
  <si>
    <t>Budget total du projet</t>
  </si>
  <si>
    <t>Les coûts sont calculés par formules : heures x tarif horaire de chaque rôle.</t>
  </si>
  <si>
    <t>Planning global (semaine PPE, 5 jours)</t>
  </si>
  <si>
    <t>J1 lun</t>
  </si>
  <si>
    <t>J2 mar</t>
  </si>
  <si>
    <t>J3 mer</t>
  </si>
  <si>
    <t>J4 jeu</t>
  </si>
  <si>
    <t>J5 ven</t>
  </si>
  <si>
    <t>Responsable</t>
  </si>
  <si>
    <t>Chef de projet</t>
  </si>
  <si>
    <t>Admin système</t>
  </si>
  <si>
    <t>L3 - Configuration</t>
  </si>
  <si>
    <t>Admin système / Dév.</t>
  </si>
  <si>
    <t>L4 - Reprise des documents</t>
  </si>
  <si>
    <t>Dév. / Référent</t>
  </si>
  <si>
    <t>L6 - Formation</t>
  </si>
  <si>
    <t>Jalons</t>
  </si>
  <si>
    <t>Plan de projet validé</t>
  </si>
  <si>
    <t>◆</t>
  </si>
  <si>
    <t>Comité de pilotage 1 (rapport n°1)</t>
  </si>
  <si>
    <t>Comité de pilotage 2 (rapport n°2)</t>
  </si>
  <si>
    <t>Clôture, bilan et REX</t>
  </si>
  <si>
    <t>Tableau de bord - suivi des coûts et de l'avancement</t>
  </si>
  <si>
    <t>Jour</t>
  </si>
  <si>
    <t>Coût prévu du jour</t>
  </si>
  <si>
    <t>Coût prévu cumulé</t>
  </si>
  <si>
    <t>Avancement prévu</t>
  </si>
  <si>
    <t>Coût réel du jour</t>
  </si>
  <si>
    <t>Coût réel cumulé</t>
  </si>
  <si>
    <t>Avancement réel</t>
  </si>
  <si>
    <t>Écart de coût cumulé</t>
  </si>
  <si>
    <t>Statut</t>
  </si>
  <si>
    <t>Total</t>
  </si>
  <si>
    <t>Budget total (avec réserve)</t>
  </si>
  <si>
    <t>Les cellules jaunes (coût réel et avancement réel) sont remplies chaque soir pendant la semaine PPE. Le cumul, l'écart et le statut se calculent automatiquement.</t>
  </si>
  <si>
    <t>Principaux risques du projet</t>
  </si>
  <si>
    <t>ID</t>
  </si>
  <si>
    <t>Risque</t>
  </si>
  <si>
    <t>Proba. (1-5)</t>
  </si>
  <si>
    <t>Impact (1-5)</t>
  </si>
  <si>
    <t>Score</t>
  </si>
  <si>
    <t>Mesure prévue</t>
  </si>
  <si>
    <t>R1</t>
  </si>
  <si>
    <t>La machine virtuelle n'est pas prête le J1</t>
  </si>
  <si>
    <t>Demande faite avant la semaine, solution de secours sur un PC de test</t>
  </si>
  <si>
    <t>R2</t>
  </si>
  <si>
    <t>Documents existants mal organisés, reprise plus longue que prévu</t>
  </si>
  <si>
    <t>Reprendre d'abord les documents les plus utilisés, le reste après le projet</t>
  </si>
  <si>
    <t>Référent métier</t>
  </si>
  <si>
    <t>R3</t>
  </si>
  <si>
    <t>Référent métier peu disponible</t>
  </si>
  <si>
    <t>Réserver ses créneaux dès le J1 avec son responsable</t>
  </si>
  <si>
    <t>R4</t>
  </si>
  <si>
    <t>Problème de connexion avec les comptes de l'entreprise</t>
  </si>
  <si>
    <t>Test de connexion dès le J2, connexion locale en solution de secours</t>
  </si>
  <si>
    <t>Développeur</t>
  </si>
  <si>
    <t>R5</t>
  </si>
  <si>
    <t>Peu de participants à la formation</t>
  </si>
  <si>
    <t>Formation courte (30 min) et guide d'une page</t>
  </si>
  <si>
    <t>SIMULATION : formateur absent, les valeurs réelles (cellules jaunes) sont un cas plausible choisi par le chef de projet. Aléa simulé : administrateur système malade le J3.</t>
  </si>
  <si>
    <t>Matrice RACI - Mise en place du wiki interne</t>
  </si>
  <si>
    <t>Activité</t>
  </si>
  <si>
    <t>Sponsor</t>
  </si>
  <si>
    <t>Utilisateurs</t>
  </si>
  <si>
    <t>Contrôle (un seul A)</t>
  </si>
  <si>
    <t>A</t>
  </si>
  <si>
    <t>R</t>
  </si>
  <si>
    <t>C</t>
  </si>
  <si>
    <t>I</t>
  </si>
  <si>
    <t>L3 - Configuration (droits, comptes)</t>
  </si>
  <si>
    <t>Décisions du comité (réserve, aléa)</t>
  </si>
  <si>
    <t>Mise en service et clôture</t>
  </si>
  <si>
    <t>R = Réalise le travail   |   A = Approuve, rend des comptes (un seul par activité)   |   C = Consulté avant   |   I = Informé après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</si>
</sst>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6"/>
      <color rgb="FFC0392B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C0392B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B78B5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" fontId="0" fillId="0" borderId="1" xfId="0" applyNumberFormat="1" applyBorder="1"/>
    <xf numFmtId="1" fontId="1" fillId="0" borderId="1" xfId="0" applyNumberFormat="1" applyFont="1" applyBorder="1"/>
    <xf numFmtId="1" fontId="1" fillId="4" borderId="1" xfId="0" applyNumberFormat="1" applyFont="1" applyFill="1" applyBorder="1"/>
    <xf numFmtId="0" fontId="0" fillId="5" borderId="1" xfId="0" applyFill="1" applyBorder="1"/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9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7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8">
    <dxf>
      <font>
        <b/>
        <i val="0"/>
        <color rgb="FF008000"/>
      </font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F5B25C"/>
        </patternFill>
      </fill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3B78B5"/>
        </patternFill>
      </fill>
    </dxf>
    <dxf>
      <fill>
        <patternFill>
          <bgColor rgb="FFF3DD6E"/>
        </patternFill>
      </fill>
    </dxf>
    <dxf>
      <fill>
        <patternFill>
          <bgColor rgb="FFF5B25C"/>
        </patternFill>
      </fill>
    </dxf>
    <dxf>
      <fill>
        <patternFill>
          <bgColor rgb="FFE5736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H"/>
              <a:t>Coûts cumulés : prévu / réel (CHF)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Coût prévu cumulé</c:v>
          </c:tx>
          <c:spPr>
            <a:ln w="31750">
              <a:solidFill>
                <a:srgbClr val="3B78B5"/>
              </a:solidFill>
            </a:ln>
          </c:spPr>
          <c:marker>
            <c:spPr>
              <a:ln w="31750">
                <a:solidFill>
                  <a:srgbClr val="3B78B5"/>
                </a:solidFill>
              </a:ln>
            </c:spPr>
          </c:marker>
          <c:cat>
            <c:strRef>
              <c:f>Suivi!$A$5:$A$9</c:f>
              <c:strCache>
                <c:ptCount val="5"/>
                <c:pt idx="0">
                  <c:v>J1 lun</c:v>
                </c:pt>
                <c:pt idx="1">
                  <c:v>J2 mar</c:v>
                </c:pt>
                <c:pt idx="2">
                  <c:v>J3 mer</c:v>
                </c:pt>
                <c:pt idx="3">
                  <c:v>J4 jeu</c:v>
                </c:pt>
                <c:pt idx="4">
                  <c:v>J5 ven</c:v>
                </c:pt>
              </c:strCache>
            </c:strRef>
          </c:cat>
          <c:val>
            <c:numRef>
              <c:f>Suivi!$C$5:$C$9</c:f>
              <c:numCache>
                <c:formatCode>0</c:formatCode>
                <c:ptCount val="5"/>
                <c:pt idx="0">
                  <c:v>2804</c:v>
                </c:pt>
                <c:pt idx="1">
                  <c:v>4688</c:v>
                </c:pt>
                <c:pt idx="2">
                  <c:v>6732</c:v>
                </c:pt>
                <c:pt idx="3">
                  <c:v>8666</c:v>
                </c:pt>
                <c:pt idx="4">
                  <c:v>10440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A-47D2-96EA-C0CA33DD9C03}"/>
            </c:ext>
          </c:extLst>
        </c:ser>
        <c:ser>
          <c:idx val="1"/>
          <c:order val="1"/>
          <c:tx>
            <c:v>Coût réel cumulé</c:v>
          </c:tx>
          <c:spPr>
            <a:ln w="31750">
              <a:solidFill>
                <a:srgbClr val="C0392B"/>
              </a:solidFill>
            </a:ln>
          </c:spPr>
          <c:marker>
            <c:spPr>
              <a:ln w="31750">
                <a:solidFill>
                  <a:srgbClr val="C0392B"/>
                </a:solidFill>
              </a:ln>
            </c:spPr>
          </c:marker>
          <c:cat>
            <c:strRef>
              <c:f>Suivi!$A$5:$A$9</c:f>
              <c:strCache>
                <c:ptCount val="5"/>
                <c:pt idx="0">
                  <c:v>J1 lun</c:v>
                </c:pt>
                <c:pt idx="1">
                  <c:v>J2 mar</c:v>
                </c:pt>
                <c:pt idx="2">
                  <c:v>J3 mer</c:v>
                </c:pt>
                <c:pt idx="3">
                  <c:v>J4 jeu</c:v>
                </c:pt>
                <c:pt idx="4">
                  <c:v>J5 ven</c:v>
                </c:pt>
              </c:strCache>
            </c:strRef>
          </c:cat>
          <c:val>
            <c:numRef>
              <c:f>Suivi!$F$5:$F$9</c:f>
              <c:numCache>
                <c:formatCode>0</c:formatCode>
                <c:ptCount val="5"/>
                <c:pt idx="0">
                  <c:v>2849</c:v>
                </c:pt>
                <c:pt idx="1">
                  <c:v>4733</c:v>
                </c:pt>
                <c:pt idx="2">
                  <c:v>6797</c:v>
                </c:pt>
                <c:pt idx="3">
                  <c:v>9131</c:v>
                </c:pt>
                <c:pt idx="4">
                  <c:v>10905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A-47D2-96EA-C0CA33DD9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302768"/>
        <c:axId val="809720816"/>
      </c:lineChart>
      <c:catAx>
        <c:axId val="39630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9720816"/>
        <c:crosses val="autoZero"/>
        <c:auto val="1"/>
        <c:lblAlgn val="ctr"/>
        <c:lblOffset val="100"/>
        <c:noMultiLvlLbl val="0"/>
      </c:catAx>
      <c:valAx>
        <c:axId val="809720816"/>
        <c:scaling>
          <c:orientation val="minMax"/>
          <c:max val="120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9630276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15</xdr:row>
      <xdr:rowOff>0</xdr:rowOff>
    </xdr:from>
    <xdr:to>
      <xdr:col>8</xdr:col>
      <xdr:colOff>1377950</xdr:colOff>
      <xdr:row>35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8AC7D3B-4BA3-8B03-1B30-FBC8135BB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767F-0AAE-4E53-9B10-C05FF5CB4FF4}">
  <dimension ref="A1:I18"/>
  <sheetViews>
    <sheetView tabSelected="1" zoomScaleNormal="100" workbookViewId="0"/>
  </sheetViews>
  <sheetFormatPr baseColWidth="10" defaultRowHeight="14.5" x14ac:dyDescent="0.35"/>
  <cols>
    <col min="1" max="1" width="48.6328125" customWidth="1"/>
    <col min="2" max="2" width="8.6328125" customWidth="1"/>
    <col min="3" max="6" width="12.6328125" customWidth="1"/>
    <col min="7" max="9" width="14.6328125" customWidth="1"/>
  </cols>
  <sheetData>
    <row r="1" spans="1:9" ht="18.5" x14ac:dyDescent="0.45">
      <c r="A1" s="1" t="s">
        <v>0</v>
      </c>
    </row>
    <row r="2" spans="1:9" x14ac:dyDescent="0.35">
      <c r="A2" t="s">
        <v>1</v>
      </c>
    </row>
    <row r="4" spans="1:9" ht="32" customHeight="1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35">
      <c r="A5" s="5" t="s">
        <v>11</v>
      </c>
      <c r="B5" s="9"/>
      <c r="C5" s="9">
        <v>110</v>
      </c>
      <c r="D5" s="9">
        <v>100</v>
      </c>
      <c r="E5" s="9">
        <v>105</v>
      </c>
      <c r="F5" s="9">
        <v>90</v>
      </c>
      <c r="G5" s="5"/>
      <c r="H5" s="5"/>
      <c r="I5" s="5"/>
    </row>
    <row r="6" spans="1:9" x14ac:dyDescent="0.35">
      <c r="A6" s="6" t="s">
        <v>12</v>
      </c>
      <c r="B6" s="10" t="s">
        <v>13</v>
      </c>
      <c r="C6" s="10">
        <v>8</v>
      </c>
      <c r="D6" s="10"/>
      <c r="E6" s="10"/>
      <c r="F6" s="10">
        <v>4</v>
      </c>
      <c r="G6" s="13">
        <f t="shared" ref="G6:G13" si="0">SUMPRODUCT(C6:F6,$C$5:$F$5)</f>
        <v>1240</v>
      </c>
      <c r="H6" s="13"/>
      <c r="I6" s="13">
        <f t="shared" ref="I6:I13" si="1">G6+H6</f>
        <v>1240</v>
      </c>
    </row>
    <row r="7" spans="1:9" x14ac:dyDescent="0.35">
      <c r="A7" s="6" t="s">
        <v>14</v>
      </c>
      <c r="B7" s="10" t="s">
        <v>15</v>
      </c>
      <c r="C7" s="10"/>
      <c r="D7" s="10">
        <v>16</v>
      </c>
      <c r="E7" s="10"/>
      <c r="F7" s="10"/>
      <c r="G7" s="13">
        <f t="shared" si="0"/>
        <v>1600</v>
      </c>
      <c r="H7" s="13"/>
      <c r="I7" s="13">
        <f t="shared" si="1"/>
        <v>1600</v>
      </c>
    </row>
    <row r="8" spans="1:9" x14ac:dyDescent="0.35">
      <c r="A8" s="6" t="s">
        <v>16</v>
      </c>
      <c r="B8" s="10" t="s">
        <v>17</v>
      </c>
      <c r="C8" s="10"/>
      <c r="D8" s="10">
        <v>8</v>
      </c>
      <c r="E8" s="10">
        <v>8</v>
      </c>
      <c r="F8" s="10"/>
      <c r="G8" s="13">
        <f t="shared" si="0"/>
        <v>1640</v>
      </c>
      <c r="H8" s="13"/>
      <c r="I8" s="13">
        <f t="shared" si="1"/>
        <v>1640</v>
      </c>
    </row>
    <row r="9" spans="1:9" x14ac:dyDescent="0.35">
      <c r="A9" s="6" t="s">
        <v>18</v>
      </c>
      <c r="B9" s="10" t="s">
        <v>19</v>
      </c>
      <c r="C9" s="10"/>
      <c r="D9" s="10"/>
      <c r="E9" s="10">
        <v>8</v>
      </c>
      <c r="F9" s="10">
        <v>12</v>
      </c>
      <c r="G9" s="13">
        <f t="shared" si="0"/>
        <v>1920</v>
      </c>
      <c r="H9" s="13"/>
      <c r="I9" s="13">
        <f t="shared" si="1"/>
        <v>1920</v>
      </c>
    </row>
    <row r="10" spans="1:9" x14ac:dyDescent="0.35">
      <c r="A10" s="6" t="s">
        <v>20</v>
      </c>
      <c r="B10" s="10" t="s">
        <v>21</v>
      </c>
      <c r="C10" s="10">
        <v>6</v>
      </c>
      <c r="D10" s="10">
        <v>4</v>
      </c>
      <c r="E10" s="10"/>
      <c r="F10" s="10">
        <v>4</v>
      </c>
      <c r="G10" s="13">
        <f t="shared" si="0"/>
        <v>1420</v>
      </c>
      <c r="H10" s="13"/>
      <c r="I10" s="13">
        <f t="shared" si="1"/>
        <v>1420</v>
      </c>
    </row>
    <row r="11" spans="1:9" x14ac:dyDescent="0.35">
      <c r="A11" s="6" t="s">
        <v>22</v>
      </c>
      <c r="B11" s="10" t="s">
        <v>23</v>
      </c>
      <c r="C11" s="10">
        <v>4</v>
      </c>
      <c r="D11" s="10"/>
      <c r="E11" s="10"/>
      <c r="F11" s="10">
        <v>4</v>
      </c>
      <c r="G11" s="13">
        <f t="shared" si="0"/>
        <v>800</v>
      </c>
      <c r="H11" s="13"/>
      <c r="I11" s="13">
        <f t="shared" si="1"/>
        <v>800</v>
      </c>
    </row>
    <row r="12" spans="1:9" x14ac:dyDescent="0.35">
      <c r="A12" s="6" t="s">
        <v>24</v>
      </c>
      <c r="B12" s="10" t="s">
        <v>25</v>
      </c>
      <c r="C12" s="10">
        <v>12</v>
      </c>
      <c r="D12" s="10"/>
      <c r="E12" s="10"/>
      <c r="F12" s="10"/>
      <c r="G12" s="13">
        <f t="shared" si="0"/>
        <v>1320</v>
      </c>
      <c r="H12" s="13"/>
      <c r="I12" s="13">
        <f t="shared" si="1"/>
        <v>1320</v>
      </c>
    </row>
    <row r="13" spans="1:9" x14ac:dyDescent="0.35">
      <c r="A13" s="6" t="s">
        <v>26</v>
      </c>
      <c r="B13" s="10" t="s">
        <v>13</v>
      </c>
      <c r="C13" s="10"/>
      <c r="D13" s="10"/>
      <c r="E13" s="10"/>
      <c r="F13" s="10"/>
      <c r="G13" s="13">
        <f t="shared" si="0"/>
        <v>0</v>
      </c>
      <c r="H13" s="13">
        <v>500</v>
      </c>
      <c r="I13" s="13">
        <f t="shared" si="1"/>
        <v>500</v>
      </c>
    </row>
    <row r="14" spans="1:9" x14ac:dyDescent="0.35">
      <c r="A14" s="7" t="s">
        <v>27</v>
      </c>
      <c r="B14" s="11"/>
      <c r="C14" s="11">
        <f t="shared" ref="C14:I14" si="2">SUM(C6:C13)</f>
        <v>30</v>
      </c>
      <c r="D14" s="11">
        <f t="shared" si="2"/>
        <v>28</v>
      </c>
      <c r="E14" s="11">
        <f t="shared" si="2"/>
        <v>16</v>
      </c>
      <c r="F14" s="11">
        <f t="shared" si="2"/>
        <v>24</v>
      </c>
      <c r="G14" s="14">
        <f t="shared" si="2"/>
        <v>9940</v>
      </c>
      <c r="H14" s="14">
        <f t="shared" si="2"/>
        <v>500</v>
      </c>
      <c r="I14" s="14">
        <f t="shared" si="2"/>
        <v>10440</v>
      </c>
    </row>
    <row r="15" spans="1:9" x14ac:dyDescent="0.35">
      <c r="A15" s="7" t="s">
        <v>28</v>
      </c>
      <c r="B15" s="11"/>
      <c r="C15" s="11"/>
      <c r="D15" s="11"/>
      <c r="E15" s="11"/>
      <c r="F15" s="11"/>
      <c r="G15" s="14"/>
      <c r="H15" s="14"/>
      <c r="I15" s="14">
        <f>ROUND(I14*0.1,0)</f>
        <v>1044</v>
      </c>
    </row>
    <row r="16" spans="1:9" x14ac:dyDescent="0.35">
      <c r="A16" s="8" t="s">
        <v>29</v>
      </c>
      <c r="B16" s="12"/>
      <c r="C16" s="12"/>
      <c r="D16" s="12"/>
      <c r="E16" s="12"/>
      <c r="F16" s="12"/>
      <c r="G16" s="15"/>
      <c r="H16" s="15"/>
      <c r="I16" s="15">
        <f>I14+I15</f>
        <v>11484</v>
      </c>
    </row>
    <row r="18" spans="1:1" x14ac:dyDescent="0.35">
      <c r="A18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BDAFF-72B7-4422-ABCB-5B4F90DB5AF9}">
  <dimension ref="A1:G17"/>
  <sheetViews>
    <sheetView zoomScaleNormal="100" workbookViewId="0"/>
  </sheetViews>
  <sheetFormatPr baseColWidth="10" defaultRowHeight="14.5" x14ac:dyDescent="0.35"/>
  <cols>
    <col min="1" max="1" width="40.6328125" customWidth="1"/>
    <col min="2" max="6" width="10.6328125" customWidth="1"/>
    <col min="7" max="7" width="22.6328125" customWidth="1"/>
  </cols>
  <sheetData>
    <row r="1" spans="1:7" ht="18.5" x14ac:dyDescent="0.45">
      <c r="A1" s="1" t="s">
        <v>31</v>
      </c>
    </row>
    <row r="2" spans="1:7" x14ac:dyDescent="0.35">
      <c r="A2" t="s">
        <v>1</v>
      </c>
    </row>
    <row r="4" spans="1:7" ht="29" x14ac:dyDescent="0.35">
      <c r="A4" s="4" t="s">
        <v>2</v>
      </c>
      <c r="B4" s="18" t="s">
        <v>32</v>
      </c>
      <c r="C4" s="18" t="s">
        <v>33</v>
      </c>
      <c r="D4" s="18" t="s">
        <v>34</v>
      </c>
      <c r="E4" s="18" t="s">
        <v>35</v>
      </c>
      <c r="F4" s="18" t="s">
        <v>36</v>
      </c>
      <c r="G4" s="4" t="s">
        <v>37</v>
      </c>
    </row>
    <row r="5" spans="1:7" x14ac:dyDescent="0.35">
      <c r="A5" s="6" t="s">
        <v>12</v>
      </c>
      <c r="B5" s="16"/>
      <c r="C5" s="6"/>
      <c r="D5" s="6"/>
      <c r="E5" s="6"/>
      <c r="F5" s="6"/>
      <c r="G5" s="6" t="s">
        <v>38</v>
      </c>
    </row>
    <row r="6" spans="1:7" x14ac:dyDescent="0.35">
      <c r="A6" s="6" t="s">
        <v>14</v>
      </c>
      <c r="B6" s="16"/>
      <c r="C6" s="16"/>
      <c r="D6" s="6"/>
      <c r="E6" s="6"/>
      <c r="F6" s="6"/>
      <c r="G6" s="6" t="s">
        <v>39</v>
      </c>
    </row>
    <row r="7" spans="1:7" x14ac:dyDescent="0.35">
      <c r="A7" s="6" t="s">
        <v>40</v>
      </c>
      <c r="B7" s="6"/>
      <c r="C7" s="16"/>
      <c r="D7" s="16"/>
      <c r="E7" s="6"/>
      <c r="F7" s="6"/>
      <c r="G7" s="6" t="s">
        <v>41</v>
      </c>
    </row>
    <row r="8" spans="1:7" x14ac:dyDescent="0.35">
      <c r="A8" s="6" t="s">
        <v>42</v>
      </c>
      <c r="B8" s="6"/>
      <c r="C8" s="6"/>
      <c r="D8" s="16"/>
      <c r="E8" s="16"/>
      <c r="F8" s="6"/>
      <c r="G8" s="6" t="s">
        <v>43</v>
      </c>
    </row>
    <row r="9" spans="1:7" x14ac:dyDescent="0.35">
      <c r="A9" s="6" t="s">
        <v>20</v>
      </c>
      <c r="B9" s="6"/>
      <c r="C9" s="6"/>
      <c r="D9" s="6"/>
      <c r="E9" s="16"/>
      <c r="F9" s="16"/>
      <c r="G9" s="6" t="s">
        <v>38</v>
      </c>
    </row>
    <row r="10" spans="1:7" x14ac:dyDescent="0.35">
      <c r="A10" s="6" t="s">
        <v>44</v>
      </c>
      <c r="B10" s="6"/>
      <c r="C10" s="6"/>
      <c r="D10" s="6"/>
      <c r="E10" s="6"/>
      <c r="F10" s="16"/>
      <c r="G10" s="6" t="s">
        <v>38</v>
      </c>
    </row>
    <row r="11" spans="1:7" x14ac:dyDescent="0.35">
      <c r="A11" s="6" t="s">
        <v>24</v>
      </c>
      <c r="B11" s="16"/>
      <c r="C11" s="16"/>
      <c r="D11" s="16"/>
      <c r="E11" s="16"/>
      <c r="F11" s="16"/>
      <c r="G11" s="6" t="s">
        <v>38</v>
      </c>
    </row>
    <row r="13" spans="1:7" x14ac:dyDescent="0.35">
      <c r="A13" s="3" t="s">
        <v>45</v>
      </c>
    </row>
    <row r="14" spans="1:7" ht="21" x14ac:dyDescent="0.5">
      <c r="A14" s="6" t="s">
        <v>46</v>
      </c>
      <c r="B14" s="17" t="s">
        <v>47</v>
      </c>
      <c r="C14" s="17"/>
      <c r="D14" s="17"/>
      <c r="E14" s="17"/>
      <c r="F14" s="17"/>
    </row>
    <row r="15" spans="1:7" ht="21" x14ac:dyDescent="0.5">
      <c r="A15" s="6" t="s">
        <v>48</v>
      </c>
      <c r="B15" s="17"/>
      <c r="C15" s="17" t="s">
        <v>47</v>
      </c>
      <c r="D15" s="17"/>
      <c r="E15" s="17"/>
      <c r="F15" s="17"/>
    </row>
    <row r="16" spans="1:7" ht="21" x14ac:dyDescent="0.5">
      <c r="A16" s="6" t="s">
        <v>49</v>
      </c>
      <c r="B16" s="17"/>
      <c r="C16" s="17"/>
      <c r="D16" s="17"/>
      <c r="E16" s="17" t="s">
        <v>47</v>
      </c>
      <c r="F16" s="17"/>
    </row>
    <row r="17" spans="1:6" ht="21" x14ac:dyDescent="0.5">
      <c r="A17" s="6" t="s">
        <v>50</v>
      </c>
      <c r="B17" s="17"/>
      <c r="C17" s="17"/>
      <c r="D17" s="17"/>
      <c r="E17" s="17"/>
      <c r="F17" s="1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4E9B-6D2F-410A-8663-DC140A7CA52D}">
  <dimension ref="A1:I14"/>
  <sheetViews>
    <sheetView zoomScaleNormal="100" workbookViewId="0"/>
  </sheetViews>
  <sheetFormatPr baseColWidth="10" defaultRowHeight="14.5" x14ac:dyDescent="0.35"/>
  <cols>
    <col min="1" max="1" width="26.6328125" customWidth="1"/>
    <col min="2" max="8" width="13.6328125" customWidth="1"/>
    <col min="9" max="9" width="28.6328125" customWidth="1"/>
  </cols>
  <sheetData>
    <row r="1" spans="1:9" ht="18.5" x14ac:dyDescent="0.45">
      <c r="A1" s="1" t="s">
        <v>51</v>
      </c>
    </row>
    <row r="2" spans="1:9" x14ac:dyDescent="0.35">
      <c r="A2" t="s">
        <v>1</v>
      </c>
    </row>
    <row r="4" spans="1:9" ht="32" customHeight="1" x14ac:dyDescent="0.35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</row>
    <row r="5" spans="1:9" x14ac:dyDescent="0.35">
      <c r="A5" s="6" t="s">
        <v>32</v>
      </c>
      <c r="B5" s="20">
        <f>Budget!I6+Budget!I7/2+Budget!I13+Budget!I12/5</f>
        <v>2804</v>
      </c>
      <c r="C5" s="20">
        <f>SUM($B$5:B5)</f>
        <v>2804</v>
      </c>
      <c r="D5" s="21">
        <f>C5/Budget!$I$14</f>
        <v>0.26858237547892722</v>
      </c>
      <c r="E5" s="22">
        <v>2849</v>
      </c>
      <c r="F5" s="26">
        <f>IF(E5="",NA(),SUM($E$5:E5))</f>
        <v>2849</v>
      </c>
      <c r="G5" s="23">
        <v>0.27</v>
      </c>
      <c r="H5" s="20">
        <f>IF(E5="","",F5-C5)</f>
        <v>45</v>
      </c>
      <c r="I5" s="10" t="str">
        <f>IF(E5="","à compléter",IF(H5&gt;Budget!$I$15,"Alerte : réserve dépassée",IF(H5&gt;0,"Dépassement (dans la réserve)","Dans le budget")))</f>
        <v>Dépassement (dans la réserve)</v>
      </c>
    </row>
    <row r="6" spans="1:9" x14ac:dyDescent="0.35">
      <c r="A6" s="6" t="s">
        <v>33</v>
      </c>
      <c r="B6" s="20">
        <f>Budget!I7/2+Budget!I8/2+Budget!I12/5</f>
        <v>1884</v>
      </c>
      <c r="C6" s="20">
        <f>SUM($B$5:B6)</f>
        <v>4688</v>
      </c>
      <c r="D6" s="21">
        <f>C6/Budget!$I$14</f>
        <v>0.44904214559386973</v>
      </c>
      <c r="E6" s="22">
        <v>1884</v>
      </c>
      <c r="F6" s="26">
        <f>IF(E6="",NA(),SUM($E$5:E6))</f>
        <v>4733</v>
      </c>
      <c r="G6" s="23">
        <v>0.45</v>
      </c>
      <c r="H6" s="20">
        <f>IF(E6="","",F6-C6)</f>
        <v>45</v>
      </c>
      <c r="I6" s="10" t="str">
        <f>IF(E6="","à compléter",IF(H6&gt;Budget!$I$15,"Alerte : réserve dépassée",IF(H6&gt;0,"Dépassement (dans la réserve)","Dans le budget")))</f>
        <v>Dépassement (dans la réserve)</v>
      </c>
    </row>
    <row r="7" spans="1:9" x14ac:dyDescent="0.35">
      <c r="A7" s="6" t="s">
        <v>34</v>
      </c>
      <c r="B7" s="20">
        <f>Budget!I8/2+Budget!I9/2+Budget!I12/5</f>
        <v>2044</v>
      </c>
      <c r="C7" s="20">
        <f>SUM($B$5:B7)</f>
        <v>6732</v>
      </c>
      <c r="D7" s="21">
        <f>C7/Budget!$I$14</f>
        <v>0.64482758620689651</v>
      </c>
      <c r="E7" s="22">
        <v>2064</v>
      </c>
      <c r="F7" s="26">
        <f>IF(E7="",NA(),SUM($E$5:E7))</f>
        <v>6797</v>
      </c>
      <c r="G7" s="23">
        <v>0.57999999999999996</v>
      </c>
      <c r="H7" s="20">
        <f>IF(E7="","",F7-C7)</f>
        <v>65</v>
      </c>
      <c r="I7" s="10" t="str">
        <f>IF(E7="","à compléter",IF(H7&gt;Budget!$I$15,"Alerte : réserve dépassée",IF(H7&gt;0,"Dépassement (dans la réserve)","Dans le budget")))</f>
        <v>Dépassement (dans la réserve)</v>
      </c>
    </row>
    <row r="8" spans="1:9" x14ac:dyDescent="0.35">
      <c r="A8" s="6" t="s">
        <v>35</v>
      </c>
      <c r="B8" s="20">
        <f>Budget!I9/2+Budget!I10/2+Budget!I12/5</f>
        <v>1934</v>
      </c>
      <c r="C8" s="20">
        <f>SUM($B$5:B8)</f>
        <v>8666</v>
      </c>
      <c r="D8" s="21">
        <f>C8/Budget!$I$14</f>
        <v>0.83007662835249041</v>
      </c>
      <c r="E8" s="22">
        <v>2334</v>
      </c>
      <c r="F8" s="26">
        <f>IF(E8="",NA(),SUM($E$5:E8))</f>
        <v>9131</v>
      </c>
      <c r="G8" s="23">
        <v>0.8</v>
      </c>
      <c r="H8" s="20">
        <f>IF(E8="","",F8-C8)</f>
        <v>465</v>
      </c>
      <c r="I8" s="10" t="str">
        <f>IF(E8="","à compléter",IF(H8&gt;Budget!$I$15,"Alerte : réserve dépassée",IF(H8&gt;0,"Dépassement (dans la réserve)","Dans le budget")))</f>
        <v>Dépassement (dans la réserve)</v>
      </c>
    </row>
    <row r="9" spans="1:9" x14ac:dyDescent="0.35">
      <c r="A9" s="6" t="s">
        <v>36</v>
      </c>
      <c r="B9" s="20">
        <f>Budget!I10/2+Budget!I11+Budget!I12/5</f>
        <v>1774</v>
      </c>
      <c r="C9" s="20">
        <f>SUM($B$5:B9)</f>
        <v>10440</v>
      </c>
      <c r="D9" s="21">
        <f>C9/Budget!$I$14</f>
        <v>1</v>
      </c>
      <c r="E9" s="22">
        <v>1774</v>
      </c>
      <c r="F9" s="26">
        <f>IF(E9="",NA(),SUM($E$5:E9))</f>
        <v>10905</v>
      </c>
      <c r="G9" s="23">
        <v>1</v>
      </c>
      <c r="H9" s="20">
        <f>IF(E9="","",F9-C9)</f>
        <v>465</v>
      </c>
      <c r="I9" s="10" t="str">
        <f>IF(E9="","à compléter",IF(H9&gt;Budget!$I$15,"Alerte : réserve dépassée",IF(H9&gt;0,"Dépassement (dans la réserve)","Dans le budget")))</f>
        <v>Dépassement (dans la réserve)</v>
      </c>
    </row>
    <row r="10" spans="1:9" x14ac:dyDescent="0.35">
      <c r="A10" s="7" t="s">
        <v>61</v>
      </c>
      <c r="B10" s="14">
        <f>SUM(B5:B9)</f>
        <v>10440</v>
      </c>
      <c r="C10" s="19"/>
      <c r="E10" s="27">
        <f>SUM(E5:E9)</f>
        <v>10905</v>
      </c>
    </row>
    <row r="11" spans="1:9" x14ac:dyDescent="0.35">
      <c r="A11" s="7" t="s">
        <v>62</v>
      </c>
      <c r="B11" s="14">
        <f>Budget!I16</f>
        <v>11484</v>
      </c>
      <c r="C11" s="19"/>
    </row>
    <row r="13" spans="1:9" x14ac:dyDescent="0.35">
      <c r="A13" s="2" t="s">
        <v>63</v>
      </c>
    </row>
    <row r="14" spans="1:9" x14ac:dyDescent="0.35">
      <c r="A14" s="28" t="s">
        <v>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E640-021F-4E98-9D59-48EF43AE3EFD}">
  <dimension ref="A1:G9"/>
  <sheetViews>
    <sheetView zoomScaleNormal="100" workbookViewId="0"/>
  </sheetViews>
  <sheetFormatPr baseColWidth="10" defaultRowHeight="14.5" x14ac:dyDescent="0.35"/>
  <cols>
    <col min="1" max="1" width="5.6328125" customWidth="1"/>
    <col min="2" max="2" width="50.6328125" customWidth="1"/>
    <col min="3" max="5" width="9.6328125" customWidth="1"/>
    <col min="6" max="6" width="55.6328125" customWidth="1"/>
    <col min="7" max="7" width="16.6328125" customWidth="1"/>
  </cols>
  <sheetData>
    <row r="1" spans="1:7" ht="18.5" x14ac:dyDescent="0.45">
      <c r="A1" s="1" t="s">
        <v>64</v>
      </c>
    </row>
    <row r="2" spans="1:7" x14ac:dyDescent="0.35">
      <c r="A2" t="s">
        <v>1</v>
      </c>
    </row>
    <row r="4" spans="1:7" ht="29" x14ac:dyDescent="0.35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37</v>
      </c>
    </row>
    <row r="5" spans="1:7" ht="29" x14ac:dyDescent="0.35">
      <c r="A5" s="24" t="s">
        <v>71</v>
      </c>
      <c r="B5" s="24" t="s">
        <v>72</v>
      </c>
      <c r="C5" s="25">
        <v>2</v>
      </c>
      <c r="D5" s="25">
        <v>4</v>
      </c>
      <c r="E5" s="25">
        <f>C5*D5</f>
        <v>8</v>
      </c>
      <c r="F5" s="24" t="s">
        <v>73</v>
      </c>
      <c r="G5" s="24" t="s">
        <v>39</v>
      </c>
    </row>
    <row r="6" spans="1:7" ht="29" x14ac:dyDescent="0.35">
      <c r="A6" s="24" t="s">
        <v>74</v>
      </c>
      <c r="B6" s="24" t="s">
        <v>75</v>
      </c>
      <c r="C6" s="25">
        <v>4</v>
      </c>
      <c r="D6" s="25">
        <v>3</v>
      </c>
      <c r="E6" s="25">
        <f>C6*D6</f>
        <v>12</v>
      </c>
      <c r="F6" s="24" t="s">
        <v>76</v>
      </c>
      <c r="G6" s="24" t="s">
        <v>77</v>
      </c>
    </row>
    <row r="7" spans="1:7" x14ac:dyDescent="0.35">
      <c r="A7" s="24" t="s">
        <v>78</v>
      </c>
      <c r="B7" s="24" t="s">
        <v>79</v>
      </c>
      <c r="C7" s="25">
        <v>3</v>
      </c>
      <c r="D7" s="25">
        <v>3</v>
      </c>
      <c r="E7" s="25">
        <f>C7*D7</f>
        <v>9</v>
      </c>
      <c r="F7" s="24" t="s">
        <v>80</v>
      </c>
      <c r="G7" s="24" t="s">
        <v>38</v>
      </c>
    </row>
    <row r="8" spans="1:7" ht="29" x14ac:dyDescent="0.35">
      <c r="A8" s="24" t="s">
        <v>81</v>
      </c>
      <c r="B8" s="24" t="s">
        <v>82</v>
      </c>
      <c r="C8" s="25">
        <v>2</v>
      </c>
      <c r="D8" s="25">
        <v>3</v>
      </c>
      <c r="E8" s="25">
        <f>C8*D8</f>
        <v>6</v>
      </c>
      <c r="F8" s="24" t="s">
        <v>83</v>
      </c>
      <c r="G8" s="24" t="s">
        <v>84</v>
      </c>
    </row>
    <row r="9" spans="1:7" x14ac:dyDescent="0.35">
      <c r="A9" s="24" t="s">
        <v>85</v>
      </c>
      <c r="B9" s="24" t="s">
        <v>86</v>
      </c>
      <c r="C9" s="25">
        <v>2</v>
      </c>
      <c r="D9" s="25">
        <v>2</v>
      </c>
      <c r="E9" s="25">
        <f>C9*D9</f>
        <v>4</v>
      </c>
      <c r="F9" s="24" t="s">
        <v>87</v>
      </c>
      <c r="G9" s="24" t="s">
        <v>38</v>
      </c>
    </row>
  </sheetData>
  <conditionalFormatting sqref="E5:E9">
    <cfRule type="expression" dxfId="7" priority="1" stopIfTrue="1">
      <formula>$E5&gt;=12</formula>
    </cfRule>
    <cfRule type="expression" dxfId="6" priority="2" stopIfTrue="1">
      <formula>($E5&gt;=8)*($E5&lt;12)</formula>
    </cfRule>
    <cfRule type="expression" dxfId="5" priority="3" stopIfTrue="1">
      <formula>$E5&lt;8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85D2-F768-48BB-B550-A821D31698C7}">
  <dimension ref="A1:H15"/>
  <sheetViews>
    <sheetView zoomScaleNormal="100" workbookViewId="0"/>
  </sheetViews>
  <sheetFormatPr baseColWidth="10" defaultRowHeight="14.5" x14ac:dyDescent="0.35"/>
  <cols>
    <col min="1" max="1" width="44.6328125" customWidth="1"/>
    <col min="2" max="8" width="14.6328125" customWidth="1"/>
  </cols>
  <sheetData>
    <row r="1" spans="1:8" ht="18.5" x14ac:dyDescent="0.45">
      <c r="A1" s="1" t="s">
        <v>89</v>
      </c>
    </row>
    <row r="2" spans="1:8" x14ac:dyDescent="0.35">
      <c r="A2" t="s">
        <v>1</v>
      </c>
    </row>
    <row r="4" spans="1:8" ht="34" customHeight="1" x14ac:dyDescent="0.35">
      <c r="A4" s="29" t="s">
        <v>90</v>
      </c>
      <c r="B4" s="18" t="s">
        <v>91</v>
      </c>
      <c r="C4" s="18" t="s">
        <v>38</v>
      </c>
      <c r="D4" s="18" t="s">
        <v>39</v>
      </c>
      <c r="E4" s="18" t="s">
        <v>84</v>
      </c>
      <c r="F4" s="18" t="s">
        <v>77</v>
      </c>
      <c r="G4" s="18" t="s">
        <v>92</v>
      </c>
      <c r="H4" s="18" t="s">
        <v>93</v>
      </c>
    </row>
    <row r="5" spans="1:8" ht="22" customHeight="1" x14ac:dyDescent="0.4">
      <c r="A5" s="31" t="s">
        <v>12</v>
      </c>
      <c r="B5" s="30" t="s">
        <v>94</v>
      </c>
      <c r="C5" s="30" t="s">
        <v>95</v>
      </c>
      <c r="D5" s="30" t="s">
        <v>96</v>
      </c>
      <c r="E5" s="30" t="s">
        <v>96</v>
      </c>
      <c r="F5" s="30" t="s">
        <v>96</v>
      </c>
      <c r="G5" s="30" t="s">
        <v>97</v>
      </c>
      <c r="H5" s="10" t="str">
        <f>IF(COUNTIF(B5:G5,"A")=1,"OK","Erreur")</f>
        <v>OK</v>
      </c>
    </row>
    <row r="6" spans="1:8" ht="22" customHeight="1" x14ac:dyDescent="0.4">
      <c r="A6" s="31" t="s">
        <v>14</v>
      </c>
      <c r="B6" s="30"/>
      <c r="C6" s="30" t="s">
        <v>94</v>
      </c>
      <c r="D6" s="30" t="s">
        <v>95</v>
      </c>
      <c r="E6" s="30" t="s">
        <v>97</v>
      </c>
      <c r="F6" s="30"/>
      <c r="G6" s="30"/>
      <c r="H6" s="10" t="str">
        <f>IF(COUNTIF(B6:G6,"A")=1,"OK","Erreur")</f>
        <v>OK</v>
      </c>
    </row>
    <row r="7" spans="1:8" ht="22" customHeight="1" x14ac:dyDescent="0.4">
      <c r="A7" s="31" t="s">
        <v>98</v>
      </c>
      <c r="B7" s="30"/>
      <c r="C7" s="30" t="s">
        <v>94</v>
      </c>
      <c r="D7" s="30" t="s">
        <v>95</v>
      </c>
      <c r="E7" s="30" t="s">
        <v>95</v>
      </c>
      <c r="F7" s="30" t="s">
        <v>96</v>
      </c>
      <c r="G7" s="30"/>
      <c r="H7" s="10" t="str">
        <f>IF(COUNTIF(B7:G7,"A")=1,"OK","Erreur")</f>
        <v>OK</v>
      </c>
    </row>
    <row r="8" spans="1:8" ht="22" customHeight="1" x14ac:dyDescent="0.4">
      <c r="A8" s="31" t="s">
        <v>42</v>
      </c>
      <c r="B8" s="30"/>
      <c r="C8" s="30" t="s">
        <v>94</v>
      </c>
      <c r="D8" s="30"/>
      <c r="E8" s="30" t="s">
        <v>95</v>
      </c>
      <c r="F8" s="30" t="s">
        <v>95</v>
      </c>
      <c r="G8" s="30" t="s">
        <v>96</v>
      </c>
      <c r="H8" s="10" t="str">
        <f>IF(COUNTIF(B8:G8,"A")=1,"OK","Erreur")</f>
        <v>OK</v>
      </c>
    </row>
    <row r="9" spans="1:8" ht="22" customHeight="1" x14ac:dyDescent="0.4">
      <c r="A9" s="31" t="s">
        <v>20</v>
      </c>
      <c r="B9" s="30" t="s">
        <v>97</v>
      </c>
      <c r="C9" s="30" t="s">
        <v>94</v>
      </c>
      <c r="D9" s="30" t="s">
        <v>95</v>
      </c>
      <c r="E9" s="30" t="s">
        <v>95</v>
      </c>
      <c r="F9" s="30" t="s">
        <v>95</v>
      </c>
      <c r="G9" s="30" t="s">
        <v>96</v>
      </c>
      <c r="H9" s="10" t="str">
        <f>IF(COUNTIF(B9:G9,"A")=1,"OK","Erreur")</f>
        <v>OK</v>
      </c>
    </row>
    <row r="10" spans="1:8" ht="22" customHeight="1" x14ac:dyDescent="0.4">
      <c r="A10" s="31" t="s">
        <v>44</v>
      </c>
      <c r="B10" s="30" t="s">
        <v>97</v>
      </c>
      <c r="C10" s="30" t="s">
        <v>94</v>
      </c>
      <c r="D10" s="30" t="s">
        <v>96</v>
      </c>
      <c r="E10" s="30"/>
      <c r="F10" s="30" t="s">
        <v>95</v>
      </c>
      <c r="G10" s="30" t="s">
        <v>97</v>
      </c>
      <c r="H10" s="10" t="str">
        <f>IF(COUNTIF(B10:G10,"A")=1,"OK","Erreur")</f>
        <v>OK</v>
      </c>
    </row>
    <row r="11" spans="1:8" ht="22" customHeight="1" x14ac:dyDescent="0.4">
      <c r="A11" s="31" t="s">
        <v>24</v>
      </c>
      <c r="B11" s="30" t="s">
        <v>94</v>
      </c>
      <c r="C11" s="30" t="s">
        <v>95</v>
      </c>
      <c r="D11" s="30" t="s">
        <v>97</v>
      </c>
      <c r="E11" s="30" t="s">
        <v>97</v>
      </c>
      <c r="F11" s="30" t="s">
        <v>97</v>
      </c>
      <c r="G11" s="30"/>
      <c r="H11" s="10" t="str">
        <f>IF(COUNTIF(B11:G11,"A")=1,"OK","Erreur")</f>
        <v>OK</v>
      </c>
    </row>
    <row r="12" spans="1:8" ht="22" customHeight="1" x14ac:dyDescent="0.4">
      <c r="A12" s="31" t="s">
        <v>99</v>
      </c>
      <c r="B12" s="30" t="s">
        <v>94</v>
      </c>
      <c r="C12" s="30" t="s">
        <v>95</v>
      </c>
      <c r="D12" s="30" t="s">
        <v>96</v>
      </c>
      <c r="E12" s="30" t="s">
        <v>96</v>
      </c>
      <c r="F12" s="30" t="s">
        <v>96</v>
      </c>
      <c r="G12" s="30"/>
      <c r="H12" s="10" t="str">
        <f>IF(COUNTIF(B12:G12,"A")=1,"OK","Erreur")</f>
        <v>OK</v>
      </c>
    </row>
    <row r="13" spans="1:8" ht="22" customHeight="1" x14ac:dyDescent="0.4">
      <c r="A13" s="31" t="s">
        <v>100</v>
      </c>
      <c r="B13" s="30" t="s">
        <v>94</v>
      </c>
      <c r="C13" s="30" t="s">
        <v>95</v>
      </c>
      <c r="D13" s="30" t="s">
        <v>95</v>
      </c>
      <c r="E13" s="30" t="s">
        <v>97</v>
      </c>
      <c r="F13" s="30" t="s">
        <v>96</v>
      </c>
      <c r="G13" s="30" t="s">
        <v>97</v>
      </c>
      <c r="H13" s="10" t="str">
        <f>IF(COUNTIF(B13:G13,"A")=1,"OK","Erreur")</f>
        <v>OK</v>
      </c>
    </row>
    <row r="15" spans="1:8" x14ac:dyDescent="0.35">
      <c r="A15" s="2" t="s">
        <v>101</v>
      </c>
    </row>
  </sheetData>
  <conditionalFormatting sqref="B5:G13">
    <cfRule type="cellIs" dxfId="4" priority="1" stopIfTrue="1" operator="equal">
      <formula>"R"</formula>
    </cfRule>
    <cfRule type="cellIs" dxfId="3" priority="2" stopIfTrue="1" operator="equal">
      <formula>"A"</formula>
    </cfRule>
    <cfRule type="cellIs" dxfId="2" priority="3" stopIfTrue="1" operator="equal">
      <formula>"C"</formula>
    </cfRule>
    <cfRule type="cellIs" dxfId="1" priority="4" stopIfTrue="1" operator="equal">
      <formula>"I"</formula>
    </cfRule>
  </conditionalFormatting>
  <conditionalFormatting sqref="H5:H13">
    <cfRule type="cellIs" dxfId="0" priority="5" stopIfTrue="1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Budget</vt:lpstr>
      <vt:lpstr>Planning</vt:lpstr>
      <vt:lpstr>Suivi</vt:lpstr>
      <vt:lpstr>Risques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2026-10-14T09:07:11Z</dcterms:created>
  <dcterms:modified xsi:type="dcterms:W3CDTF">2026-10-14T09:53:25Z</dcterms:modified>
</cp:coreProperties>
</file>