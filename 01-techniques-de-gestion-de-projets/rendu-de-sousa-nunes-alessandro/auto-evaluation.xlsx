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ee8758c4b754eab/Bureau/E3-Gestion-de-projets-PPE/01-techniques-de-gestion-de-projets/rendu-de-sousa-nunes-alessandro/"/>
    </mc:Choice>
  </mc:AlternateContent>
  <xr:revisionPtr revIDLastSave="1" documentId="8_{5D4CE067-0381-4244-8E15-6A3672B4EAEF}" xr6:coauthVersionLast="47" xr6:coauthVersionMax="47" xr10:uidLastSave="{2BD73337-61DA-44D6-8A0F-EEB6A68FB850}"/>
  <bookViews>
    <workbookView xWindow="-110" yWindow="-110" windowWidth="25820" windowHeight="15500" xr2:uid="{6C03F87C-062D-483D-BE1E-A1C4CCF4F67E}"/>
  </bookViews>
  <sheets>
    <sheet name="Auto-évalua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3" i="1" l="1"/>
  <c r="C53" i="1"/>
  <c r="B53" i="1"/>
  <c r="D52" i="1"/>
  <c r="C52" i="1"/>
  <c r="B52" i="1"/>
  <c r="D51" i="1"/>
  <c r="C51" i="1"/>
  <c r="B51" i="1"/>
  <c r="D50" i="1"/>
  <c r="C50" i="1"/>
  <c r="B50" i="1"/>
  <c r="D49" i="1"/>
  <c r="C49" i="1"/>
  <c r="B49" i="1"/>
  <c r="D45" i="1"/>
  <c r="E45" i="1"/>
  <c r="B45" i="1"/>
  <c r="E44" i="1"/>
  <c r="E43" i="1"/>
  <c r="E42" i="1"/>
  <c r="E41" i="1"/>
  <c r="E40" i="1"/>
  <c r="D36" i="1"/>
  <c r="E36" i="1"/>
  <c r="B36" i="1"/>
  <c r="E35" i="1"/>
  <c r="E34" i="1"/>
  <c r="E33" i="1"/>
  <c r="E32" i="1"/>
  <c r="E31" i="1"/>
  <c r="D27" i="1"/>
  <c r="E27" i="1"/>
  <c r="B27" i="1"/>
  <c r="E26" i="1"/>
  <c r="E25" i="1"/>
  <c r="E24" i="1"/>
  <c r="E23" i="1"/>
  <c r="D19" i="1"/>
  <c r="E19" i="1"/>
  <c r="B19" i="1"/>
  <c r="E18" i="1"/>
  <c r="E17" i="1"/>
  <c r="E16" i="1"/>
  <c r="E15" i="1"/>
  <c r="D11" i="1"/>
  <c r="E11" i="1"/>
  <c r="B11" i="1"/>
  <c r="E10" i="1"/>
  <c r="E9" i="1"/>
  <c r="E8" i="1"/>
  <c r="E7" i="1"/>
</calcChain>
</file>

<file path=xl/sharedStrings.xml><?xml version="1.0" encoding="utf-8"?>
<sst xmlns="http://schemas.openxmlformats.org/spreadsheetml/2006/main" count="111" uniqueCount="68">
  <si>
    <t>Grille d'auto-évaluation - Cours 306 Techniques de gestion de projets</t>
  </si>
  <si>
    <t>De Sousa Nunes Alessandro - CFC 3</t>
  </si>
  <si>
    <t>Critères et pondérations repris des fiches de projet. Les taux sont MON estimation personnelle ; la note officielle est celle du formateur. Note = 1 + (total en %) x 5.</t>
  </si>
  <si>
    <t>Projet 1 - Charte et découpage</t>
  </si>
  <si>
    <t>Critère</t>
  </si>
  <si>
    <t>Pondération</t>
  </si>
  <si>
    <t>Où c'est couvert dans le rendu</t>
  </si>
  <si>
    <t>Taux estimé</t>
  </si>
  <si>
    <t>Points</t>
  </si>
  <si>
    <t>Point faible / remarque</t>
  </si>
  <si>
    <t>Réalisation technique</t>
  </si>
  <si>
    <t>Charte complète, WBS 3 niveaux (Excel + diagramme), frise des jalons, parties prenantes, RACI</t>
  </si>
  <si>
    <t>WBS et jalons solides</t>
  </si>
  <si>
    <t>Respect des consignes</t>
  </si>
  <si>
    <t>Toutes les étapes sont traitées</t>
  </si>
  <si>
    <t>Entretien avec le formateur simulé (formateur absent)</t>
  </si>
  <si>
    <t>Tests / validation</t>
  </si>
  <si>
    <t>Auto-contrôle point par point (section 10 de la charte), contrôle RACI par formule</t>
  </si>
  <si>
    <t>Pas de validation réelle par le formateur</t>
  </si>
  <si>
    <t>Documentation</t>
  </si>
  <si>
    <t>Charte Word + PDF, captures, README</t>
  </si>
  <si>
    <t>Total</t>
  </si>
  <si>
    <t>Note estimée (sur 6) :</t>
  </si>
  <si>
    <t>Projet 2 - Cahier des charges et Gantt</t>
  </si>
  <si>
    <t>Gantt Excel calculé par formules, réseau PERT, cahier des charges complet</t>
  </si>
  <si>
    <t>Besoins, contraintes, exclusions, estimations, dépendances, chemin critique</t>
  </si>
  <si>
    <t>2 tests de retard faits dans Excel avec captures, contrôle de la durée</t>
  </si>
  <si>
    <t>PV de recette du client non signé</t>
  </si>
  <si>
    <t>Cahier des charges Word + PDF, note sur le chemin critique</t>
  </si>
  <si>
    <t>Projet 3 - Gestion des risques</t>
  </si>
  <si>
    <t>Exhaustivité de l'identification des risques</t>
  </si>
  <si>
    <t>10 risques (6 techniques, 2 organisationnels, 2 humains)</t>
  </si>
  <si>
    <t>Le risque « absence d'une personne clé » aurait pu être plus détaillé</t>
  </si>
  <si>
    <t>Qualité de l'évaluation (probabilité/impact)</t>
  </si>
  <si>
    <t>Échelles définies, score et matrice calculés par formules</t>
  </si>
  <si>
    <t>Pertinence des plans de mitigation</t>
  </si>
  <si>
    <t>3 plans détaillés : actions, signaux d'alerte, plan B, risque résiduel</t>
  </si>
  <si>
    <t>Documentation et présentation</t>
  </si>
  <si>
    <t>Document Word + PDF, registre Excel, matrice</t>
  </si>
  <si>
    <t>Projet 4 - Sprint Scrum simulé</t>
  </si>
  <si>
    <t>Qualité du backlog et des user stories</t>
  </si>
  <si>
    <t>10 stories avec critères d'acceptation, MoSCoW, points</t>
  </si>
  <si>
    <t>Rigueur de la planification de sprint</t>
  </si>
  <si>
    <t>Objectif, capacité, engagement, Definition of Done, découpage en tâches</t>
  </si>
  <si>
    <t>Vélocité estimée (premier sprint, pas d'historique)</t>
  </si>
  <si>
    <t>Suivi et burndown</t>
  </si>
  <si>
    <t>Daily simulés, burndown calculé dans Excel</t>
  </si>
  <si>
    <t>Suivi simulé, comme demandé</t>
  </si>
  <si>
    <t>Revue et rétrospective</t>
  </si>
  <si>
    <t>Démo, retours, vélocité, rétro avec 3 actions</t>
  </si>
  <si>
    <t>Document Word + PDF, backlog Excel</t>
  </si>
  <si>
    <t>Projet 5 - Pilotage complet</t>
  </si>
  <si>
    <t>Qualité du plan de projet initial</t>
  </si>
  <si>
    <t>Objectifs, budget calculé, planning, risques, RACI, gouvernance</t>
  </si>
  <si>
    <t>Pilotage effectif (suivi, reporting)</t>
  </si>
  <si>
    <t>Tableau de bord, 2 rapports COPIL</t>
  </si>
  <si>
    <t>Suivi simulé, pas vécu sur une vraie semaine</t>
  </si>
  <si>
    <t>Gestion de l'aléa imprévu</t>
  </si>
  <si>
    <t>Analyse d'impact, 3 options chiffrées, décision, mise à jour</t>
  </si>
  <si>
    <t>Aléa choisi par moi, pas injecté par le formateur</t>
  </si>
  <si>
    <t>Qualité du bilan et du REX</t>
  </si>
  <si>
    <t>Bilan chiffré, analyse de l'aléa, enseignements</t>
  </si>
  <si>
    <t>Professionnalisme de la communication</t>
  </si>
  <si>
    <t>Rapports structurés (météo, décisions demandées)</t>
  </si>
  <si>
    <t>Résumé</t>
  </si>
  <si>
    <t>Projet</t>
  </si>
  <si>
    <t>Contrôle pondérations = 100 %</t>
  </si>
  <si>
    <t>Note estimée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</si>
</sst>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vertical="center" wrapText="1"/>
    </xf>
    <xf numFmtId="0" fontId="0" fillId="2" borderId="0" xfId="0" applyFill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right"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 wrapText="1"/>
    </xf>
    <xf numFmtId="9" fontId="1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9" fontId="0" fillId="4" borderId="1" xfId="0" applyNumberForma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F197A-279A-4D99-8E2E-BE30A504D579}">
  <sheetPr>
    <pageSetUpPr fitToPage="1"/>
  </sheetPr>
  <dimension ref="A1:F53"/>
  <sheetViews>
    <sheetView tabSelected="1" zoomScale="80" zoomScaleNormal="80" workbookViewId="0"/>
  </sheetViews>
  <sheetFormatPr baseColWidth="10" defaultRowHeight="14.5" x14ac:dyDescent="0.35"/>
  <cols>
    <col min="1" max="1" width="44.6328125" customWidth="1"/>
    <col min="2" max="2" width="13.6328125" customWidth="1"/>
    <col min="3" max="3" width="62.6328125" customWidth="1"/>
    <col min="4" max="4" width="13.6328125" customWidth="1"/>
    <col min="5" max="5" width="10.6328125" customWidth="1"/>
    <col min="6" max="6" width="48.6328125" customWidth="1"/>
  </cols>
  <sheetData>
    <row r="1" spans="1:6" ht="18.5" x14ac:dyDescent="0.45">
      <c r="A1" s="1" t="s">
        <v>0</v>
      </c>
    </row>
    <row r="2" spans="1:6" x14ac:dyDescent="0.35">
      <c r="A2" t="s">
        <v>1</v>
      </c>
    </row>
    <row r="3" spans="1:6" x14ac:dyDescent="0.35">
      <c r="A3" s="2" t="s">
        <v>2</v>
      </c>
    </row>
    <row r="5" spans="1:6" ht="16" x14ac:dyDescent="0.35">
      <c r="A5" s="3" t="s">
        <v>3</v>
      </c>
      <c r="B5" s="13"/>
      <c r="C5" s="4"/>
      <c r="D5" s="13"/>
      <c r="E5" s="13"/>
      <c r="F5" s="4"/>
    </row>
    <row r="6" spans="1:6" x14ac:dyDescent="0.35">
      <c r="A6" s="5" t="s">
        <v>4</v>
      </c>
      <c r="B6" s="14" t="s">
        <v>5</v>
      </c>
      <c r="C6" s="5" t="s">
        <v>6</v>
      </c>
      <c r="D6" s="14" t="s">
        <v>7</v>
      </c>
      <c r="E6" s="14" t="s">
        <v>8</v>
      </c>
      <c r="F6" s="5" t="s">
        <v>9</v>
      </c>
    </row>
    <row r="7" spans="1:6" ht="29" x14ac:dyDescent="0.35">
      <c r="A7" s="6" t="s">
        <v>10</v>
      </c>
      <c r="B7" s="15">
        <v>0.3</v>
      </c>
      <c r="C7" s="6" t="s">
        <v>11</v>
      </c>
      <c r="D7" s="18">
        <v>0.9</v>
      </c>
      <c r="E7" s="11">
        <f>B7*D7</f>
        <v>0.27</v>
      </c>
      <c r="F7" s="6" t="s">
        <v>12</v>
      </c>
    </row>
    <row r="8" spans="1:6" x14ac:dyDescent="0.35">
      <c r="A8" s="6" t="s">
        <v>13</v>
      </c>
      <c r="B8" s="15">
        <v>0.25</v>
      </c>
      <c r="C8" s="6" t="s">
        <v>14</v>
      </c>
      <c r="D8" s="18">
        <v>0.8</v>
      </c>
      <c r="E8" s="11">
        <f>B8*D8</f>
        <v>0.2</v>
      </c>
      <c r="F8" s="6" t="s">
        <v>15</v>
      </c>
    </row>
    <row r="9" spans="1:6" ht="29" x14ac:dyDescent="0.35">
      <c r="A9" s="6" t="s">
        <v>16</v>
      </c>
      <c r="B9" s="15">
        <v>0.25</v>
      </c>
      <c r="C9" s="6" t="s">
        <v>17</v>
      </c>
      <c r="D9" s="18">
        <v>0.7</v>
      </c>
      <c r="E9" s="11">
        <f>B9*D9</f>
        <v>0.17499999999999999</v>
      </c>
      <c r="F9" s="6" t="s">
        <v>18</v>
      </c>
    </row>
    <row r="10" spans="1:6" x14ac:dyDescent="0.35">
      <c r="A10" s="6" t="s">
        <v>19</v>
      </c>
      <c r="B10" s="15">
        <v>0.2</v>
      </c>
      <c r="C10" s="6" t="s">
        <v>20</v>
      </c>
      <c r="D10" s="18">
        <v>0.95</v>
      </c>
      <c r="E10" s="11">
        <f>B10*D10</f>
        <v>0.19</v>
      </c>
      <c r="F10" s="6"/>
    </row>
    <row r="11" spans="1:6" x14ac:dyDescent="0.35">
      <c r="A11" s="7" t="s">
        <v>21</v>
      </c>
      <c r="B11" s="16">
        <f>SUM(B7:B10)</f>
        <v>1</v>
      </c>
      <c r="C11" s="8" t="s">
        <v>22</v>
      </c>
      <c r="D11" s="19">
        <f>ROUND(1+E11*5,1)</f>
        <v>5.2</v>
      </c>
      <c r="E11" s="20">
        <f>SUM(E7:E10)</f>
        <v>0.83499999999999996</v>
      </c>
      <c r="F11" s="7"/>
    </row>
    <row r="12" spans="1:6" x14ac:dyDescent="0.35">
      <c r="A12" s="9"/>
      <c r="B12" s="17"/>
      <c r="C12" s="9"/>
      <c r="D12" s="17"/>
      <c r="E12" s="17"/>
      <c r="F12" s="9"/>
    </row>
    <row r="13" spans="1:6" ht="16" x14ac:dyDescent="0.35">
      <c r="A13" s="3" t="s">
        <v>23</v>
      </c>
      <c r="B13" s="13"/>
      <c r="C13" s="4"/>
      <c r="D13" s="13"/>
      <c r="E13" s="13"/>
      <c r="F13" s="4"/>
    </row>
    <row r="14" spans="1:6" x14ac:dyDescent="0.35">
      <c r="A14" s="5" t="s">
        <v>4</v>
      </c>
      <c r="B14" s="14" t="s">
        <v>5</v>
      </c>
      <c r="C14" s="5" t="s">
        <v>6</v>
      </c>
      <c r="D14" s="14" t="s">
        <v>7</v>
      </c>
      <c r="E14" s="14" t="s">
        <v>8</v>
      </c>
      <c r="F14" s="5" t="s">
        <v>9</v>
      </c>
    </row>
    <row r="15" spans="1:6" x14ac:dyDescent="0.35">
      <c r="A15" s="6" t="s">
        <v>10</v>
      </c>
      <c r="B15" s="15">
        <v>0.3</v>
      </c>
      <c r="C15" s="6" t="s">
        <v>24</v>
      </c>
      <c r="D15" s="18">
        <v>0.95</v>
      </c>
      <c r="E15" s="11">
        <f>B15*D15</f>
        <v>0.28499999999999998</v>
      </c>
      <c r="F15" s="6"/>
    </row>
    <row r="16" spans="1:6" ht="29" x14ac:dyDescent="0.35">
      <c r="A16" s="6" t="s">
        <v>13</v>
      </c>
      <c r="B16" s="15">
        <v>0.25</v>
      </c>
      <c r="C16" s="6" t="s">
        <v>25</v>
      </c>
      <c r="D16" s="18">
        <v>0.95</v>
      </c>
      <c r="E16" s="11">
        <f>B16*D16</f>
        <v>0.23749999999999999</v>
      </c>
      <c r="F16" s="6"/>
    </row>
    <row r="17" spans="1:6" x14ac:dyDescent="0.35">
      <c r="A17" s="6" t="s">
        <v>16</v>
      </c>
      <c r="B17" s="15">
        <v>0.25</v>
      </c>
      <c r="C17" s="6" t="s">
        <v>26</v>
      </c>
      <c r="D17" s="18">
        <v>0.9</v>
      </c>
      <c r="E17" s="11">
        <f>B17*D17</f>
        <v>0.22500000000000001</v>
      </c>
      <c r="F17" s="6" t="s">
        <v>27</v>
      </c>
    </row>
    <row r="18" spans="1:6" x14ac:dyDescent="0.35">
      <c r="A18" s="6" t="s">
        <v>19</v>
      </c>
      <c r="B18" s="15">
        <v>0.2</v>
      </c>
      <c r="C18" s="6" t="s">
        <v>28</v>
      </c>
      <c r="D18" s="18">
        <v>0.95</v>
      </c>
      <c r="E18" s="11">
        <f>B18*D18</f>
        <v>0.19</v>
      </c>
      <c r="F18" s="6"/>
    </row>
    <row r="19" spans="1:6" x14ac:dyDescent="0.35">
      <c r="A19" s="7" t="s">
        <v>21</v>
      </c>
      <c r="B19" s="16">
        <f>SUM(B15:B18)</f>
        <v>1</v>
      </c>
      <c r="C19" s="8" t="s">
        <v>22</v>
      </c>
      <c r="D19" s="19">
        <f>ROUND(1+E19*5,1)</f>
        <v>5.7</v>
      </c>
      <c r="E19" s="20">
        <f>SUM(E15:E18)</f>
        <v>0.9375</v>
      </c>
      <c r="F19" s="7"/>
    </row>
    <row r="20" spans="1:6" x14ac:dyDescent="0.35">
      <c r="A20" s="9"/>
      <c r="B20" s="17"/>
      <c r="C20" s="9"/>
      <c r="D20" s="17"/>
      <c r="E20" s="17"/>
      <c r="F20" s="9"/>
    </row>
    <row r="21" spans="1:6" ht="16" x14ac:dyDescent="0.35">
      <c r="A21" s="3" t="s">
        <v>29</v>
      </c>
      <c r="B21" s="13"/>
      <c r="C21" s="4"/>
      <c r="D21" s="13"/>
      <c r="E21" s="13"/>
      <c r="F21" s="4"/>
    </row>
    <row r="22" spans="1:6" x14ac:dyDescent="0.35">
      <c r="A22" s="5" t="s">
        <v>4</v>
      </c>
      <c r="B22" s="14" t="s">
        <v>5</v>
      </c>
      <c r="C22" s="5" t="s">
        <v>6</v>
      </c>
      <c r="D22" s="14" t="s">
        <v>7</v>
      </c>
      <c r="E22" s="14" t="s">
        <v>8</v>
      </c>
      <c r="F22" s="5" t="s">
        <v>9</v>
      </c>
    </row>
    <row r="23" spans="1:6" ht="29" x14ac:dyDescent="0.35">
      <c r="A23" s="6" t="s">
        <v>30</v>
      </c>
      <c r="B23" s="15">
        <v>0.25</v>
      </c>
      <c r="C23" s="6" t="s">
        <v>31</v>
      </c>
      <c r="D23" s="18">
        <v>0.9</v>
      </c>
      <c r="E23" s="11">
        <f>B23*D23</f>
        <v>0.22500000000000001</v>
      </c>
      <c r="F23" s="6" t="s">
        <v>32</v>
      </c>
    </row>
    <row r="24" spans="1:6" x14ac:dyDescent="0.35">
      <c r="A24" s="6" t="s">
        <v>33</v>
      </c>
      <c r="B24" s="15">
        <v>0.25</v>
      </c>
      <c r="C24" s="6" t="s">
        <v>34</v>
      </c>
      <c r="D24" s="18">
        <v>0.9</v>
      </c>
      <c r="E24" s="11">
        <f>B24*D24</f>
        <v>0.22500000000000001</v>
      </c>
      <c r="F24" s="6"/>
    </row>
    <row r="25" spans="1:6" x14ac:dyDescent="0.35">
      <c r="A25" s="6" t="s">
        <v>35</v>
      </c>
      <c r="B25" s="15">
        <v>0.3</v>
      </c>
      <c r="C25" s="6" t="s">
        <v>36</v>
      </c>
      <c r="D25" s="18">
        <v>0.9</v>
      </c>
      <c r="E25" s="11">
        <f>B25*D25</f>
        <v>0.27</v>
      </c>
      <c r="F25" s="6"/>
    </row>
    <row r="26" spans="1:6" x14ac:dyDescent="0.35">
      <c r="A26" s="6" t="s">
        <v>37</v>
      </c>
      <c r="B26" s="15">
        <v>0.2</v>
      </c>
      <c r="C26" s="6" t="s">
        <v>38</v>
      </c>
      <c r="D26" s="18">
        <v>0.95</v>
      </c>
      <c r="E26" s="11">
        <f>B26*D26</f>
        <v>0.19</v>
      </c>
      <c r="F26" s="6"/>
    </row>
    <row r="27" spans="1:6" x14ac:dyDescent="0.35">
      <c r="A27" s="7" t="s">
        <v>21</v>
      </c>
      <c r="B27" s="16">
        <f>SUM(B23:B26)</f>
        <v>1</v>
      </c>
      <c r="C27" s="8" t="s">
        <v>22</v>
      </c>
      <c r="D27" s="19">
        <f>ROUND(1+E27*5,1)</f>
        <v>5.6</v>
      </c>
      <c r="E27" s="20">
        <f>SUM(E23:E26)</f>
        <v>0.90999999999999992</v>
      </c>
      <c r="F27" s="7"/>
    </row>
    <row r="28" spans="1:6" x14ac:dyDescent="0.35">
      <c r="A28" s="9"/>
      <c r="B28" s="17"/>
      <c r="C28" s="9"/>
      <c r="D28" s="17"/>
      <c r="E28" s="17"/>
      <c r="F28" s="9"/>
    </row>
    <row r="29" spans="1:6" ht="16" x14ac:dyDescent="0.35">
      <c r="A29" s="3" t="s">
        <v>39</v>
      </c>
      <c r="B29" s="13"/>
      <c r="C29" s="4"/>
      <c r="D29" s="13"/>
      <c r="E29" s="13"/>
      <c r="F29" s="4"/>
    </row>
    <row r="30" spans="1:6" x14ac:dyDescent="0.35">
      <c r="A30" s="5" t="s">
        <v>4</v>
      </c>
      <c r="B30" s="14" t="s">
        <v>5</v>
      </c>
      <c r="C30" s="5" t="s">
        <v>6</v>
      </c>
      <c r="D30" s="14" t="s">
        <v>7</v>
      </c>
      <c r="E30" s="14" t="s">
        <v>8</v>
      </c>
      <c r="F30" s="5" t="s">
        <v>9</v>
      </c>
    </row>
    <row r="31" spans="1:6" x14ac:dyDescent="0.35">
      <c r="A31" s="6" t="s">
        <v>40</v>
      </c>
      <c r="B31" s="15">
        <v>0.25</v>
      </c>
      <c r="C31" s="6" t="s">
        <v>41</v>
      </c>
      <c r="D31" s="18">
        <v>0.95</v>
      </c>
      <c r="E31" s="11">
        <f>B31*D31</f>
        <v>0.23749999999999999</v>
      </c>
      <c r="F31" s="6"/>
    </row>
    <row r="32" spans="1:6" x14ac:dyDescent="0.35">
      <c r="A32" s="6" t="s">
        <v>42</v>
      </c>
      <c r="B32" s="15">
        <v>0.2</v>
      </c>
      <c r="C32" s="6" t="s">
        <v>43</v>
      </c>
      <c r="D32" s="18">
        <v>0.9</v>
      </c>
      <c r="E32" s="11">
        <f>B32*D32</f>
        <v>0.18000000000000002</v>
      </c>
      <c r="F32" s="6" t="s">
        <v>44</v>
      </c>
    </row>
    <row r="33" spans="1:6" x14ac:dyDescent="0.35">
      <c r="A33" s="6" t="s">
        <v>45</v>
      </c>
      <c r="B33" s="15">
        <v>0.2</v>
      </c>
      <c r="C33" s="6" t="s">
        <v>46</v>
      </c>
      <c r="D33" s="18">
        <v>0.85</v>
      </c>
      <c r="E33" s="11">
        <f>B33*D33</f>
        <v>0.17</v>
      </c>
      <c r="F33" s="6" t="s">
        <v>47</v>
      </c>
    </row>
    <row r="34" spans="1:6" x14ac:dyDescent="0.35">
      <c r="A34" s="6" t="s">
        <v>48</v>
      </c>
      <c r="B34" s="15">
        <v>0.25</v>
      </c>
      <c r="C34" s="6" t="s">
        <v>49</v>
      </c>
      <c r="D34" s="18">
        <v>0.9</v>
      </c>
      <c r="E34" s="11">
        <f>B34*D34</f>
        <v>0.22500000000000001</v>
      </c>
      <c r="F34" s="6"/>
    </row>
    <row r="35" spans="1:6" x14ac:dyDescent="0.35">
      <c r="A35" s="6" t="s">
        <v>19</v>
      </c>
      <c r="B35" s="15">
        <v>0.1</v>
      </c>
      <c r="C35" s="6" t="s">
        <v>50</v>
      </c>
      <c r="D35" s="18">
        <v>0.95</v>
      </c>
      <c r="E35" s="11">
        <f>B35*D35</f>
        <v>9.5000000000000001E-2</v>
      </c>
      <c r="F35" s="6"/>
    </row>
    <row r="36" spans="1:6" x14ac:dyDescent="0.35">
      <c r="A36" s="7" t="s">
        <v>21</v>
      </c>
      <c r="B36" s="16">
        <f>SUM(B31:B35)</f>
        <v>1</v>
      </c>
      <c r="C36" s="8" t="s">
        <v>22</v>
      </c>
      <c r="D36" s="19">
        <f>ROUND(1+E36*5,1)</f>
        <v>5.5</v>
      </c>
      <c r="E36" s="20">
        <f>SUM(E31:E35)</f>
        <v>0.90749999999999997</v>
      </c>
      <c r="F36" s="7"/>
    </row>
    <row r="37" spans="1:6" x14ac:dyDescent="0.35">
      <c r="A37" s="9"/>
      <c r="B37" s="17"/>
      <c r="C37" s="9"/>
      <c r="D37" s="17"/>
      <c r="E37" s="17"/>
      <c r="F37" s="9"/>
    </row>
    <row r="38" spans="1:6" ht="16" x14ac:dyDescent="0.35">
      <c r="A38" s="3" t="s">
        <v>51</v>
      </c>
      <c r="B38" s="13"/>
      <c r="C38" s="4"/>
      <c r="D38" s="13"/>
      <c r="E38" s="13"/>
      <c r="F38" s="4"/>
    </row>
    <row r="39" spans="1:6" x14ac:dyDescent="0.35">
      <c r="A39" s="5" t="s">
        <v>4</v>
      </c>
      <c r="B39" s="14" t="s">
        <v>5</v>
      </c>
      <c r="C39" s="5" t="s">
        <v>6</v>
      </c>
      <c r="D39" s="14" t="s">
        <v>7</v>
      </c>
      <c r="E39" s="14" t="s">
        <v>8</v>
      </c>
      <c r="F39" s="5" t="s">
        <v>9</v>
      </c>
    </row>
    <row r="40" spans="1:6" x14ac:dyDescent="0.35">
      <c r="A40" s="6" t="s">
        <v>52</v>
      </c>
      <c r="B40" s="15">
        <v>0.2</v>
      </c>
      <c r="C40" s="6" t="s">
        <v>53</v>
      </c>
      <c r="D40" s="18">
        <v>0.95</v>
      </c>
      <c r="E40" s="11">
        <f>B40*D40</f>
        <v>0.19</v>
      </c>
      <c r="F40" s="6"/>
    </row>
    <row r="41" spans="1:6" x14ac:dyDescent="0.35">
      <c r="A41" s="6" t="s">
        <v>54</v>
      </c>
      <c r="B41" s="15">
        <v>0.25</v>
      </c>
      <c r="C41" s="6" t="s">
        <v>55</v>
      </c>
      <c r="D41" s="18">
        <v>0.7</v>
      </c>
      <c r="E41" s="11">
        <f>B41*D41</f>
        <v>0.17499999999999999</v>
      </c>
      <c r="F41" s="6" t="s">
        <v>56</v>
      </c>
    </row>
    <row r="42" spans="1:6" x14ac:dyDescent="0.35">
      <c r="A42" s="6" t="s">
        <v>57</v>
      </c>
      <c r="B42" s="15">
        <v>0.2</v>
      </c>
      <c r="C42" s="6" t="s">
        <v>58</v>
      </c>
      <c r="D42" s="18">
        <v>0.7</v>
      </c>
      <c r="E42" s="11">
        <f>B42*D42</f>
        <v>0.13999999999999999</v>
      </c>
      <c r="F42" s="6" t="s">
        <v>59</v>
      </c>
    </row>
    <row r="43" spans="1:6" x14ac:dyDescent="0.35">
      <c r="A43" s="6" t="s">
        <v>60</v>
      </c>
      <c r="B43" s="15">
        <v>0.2</v>
      </c>
      <c r="C43" s="6" t="s">
        <v>61</v>
      </c>
      <c r="D43" s="18">
        <v>0.85</v>
      </c>
      <c r="E43" s="11">
        <f>B43*D43</f>
        <v>0.17</v>
      </c>
      <c r="F43" s="6"/>
    </row>
    <row r="44" spans="1:6" x14ac:dyDescent="0.35">
      <c r="A44" s="6" t="s">
        <v>62</v>
      </c>
      <c r="B44" s="15">
        <v>0.15</v>
      </c>
      <c r="C44" s="6" t="s">
        <v>63</v>
      </c>
      <c r="D44" s="18">
        <v>0.9</v>
      </c>
      <c r="E44" s="11">
        <f>B44*D44</f>
        <v>0.13500000000000001</v>
      </c>
      <c r="F44" s="6"/>
    </row>
    <row r="45" spans="1:6" x14ac:dyDescent="0.35">
      <c r="A45" s="7" t="s">
        <v>21</v>
      </c>
      <c r="B45" s="16">
        <f>SUM(B40:B44)</f>
        <v>1</v>
      </c>
      <c r="C45" s="8" t="s">
        <v>22</v>
      </c>
      <c r="D45" s="19">
        <f>ROUND(1+E45*5,1)</f>
        <v>5.0999999999999996</v>
      </c>
      <c r="E45" s="20">
        <f>SUM(E40:E44)</f>
        <v>0.81</v>
      </c>
      <c r="F45" s="7"/>
    </row>
    <row r="46" spans="1:6" x14ac:dyDescent="0.35">
      <c r="A46" s="9"/>
      <c r="B46" s="17"/>
      <c r="C46" s="9"/>
      <c r="D46" s="17"/>
      <c r="E46" s="17"/>
      <c r="F46" s="9"/>
    </row>
    <row r="47" spans="1:6" ht="16" x14ac:dyDescent="0.35">
      <c r="A47" s="10" t="s">
        <v>64</v>
      </c>
      <c r="B47" s="17"/>
      <c r="C47" s="9"/>
      <c r="D47" s="17"/>
      <c r="E47" s="17"/>
      <c r="F47" s="9"/>
    </row>
    <row r="48" spans="1:6" x14ac:dyDescent="0.35">
      <c r="A48" s="5" t="s">
        <v>65</v>
      </c>
      <c r="B48" s="14" t="s">
        <v>21</v>
      </c>
      <c r="C48" s="5" t="s">
        <v>66</v>
      </c>
      <c r="D48" s="14" t="s">
        <v>67</v>
      </c>
      <c r="E48" s="17"/>
      <c r="F48" s="9"/>
    </row>
    <row r="49" spans="1:6" x14ac:dyDescent="0.35">
      <c r="A49" s="6" t="s">
        <v>3</v>
      </c>
      <c r="B49" s="11">
        <f>E11</f>
        <v>0.83499999999999996</v>
      </c>
      <c r="C49" s="12" t="str">
        <f>IF(ROUND(B11,4)=1,"OK","Erreur")</f>
        <v>OK</v>
      </c>
      <c r="D49" s="12">
        <f>D11</f>
        <v>5.2</v>
      </c>
      <c r="E49" s="17"/>
      <c r="F49" s="9"/>
    </row>
    <row r="50" spans="1:6" x14ac:dyDescent="0.35">
      <c r="A50" s="6" t="s">
        <v>23</v>
      </c>
      <c r="B50" s="11">
        <f>E19</f>
        <v>0.9375</v>
      </c>
      <c r="C50" s="12" t="str">
        <f>IF(ROUND(B19,4)=1,"OK","Erreur")</f>
        <v>OK</v>
      </c>
      <c r="D50" s="12">
        <f>D19</f>
        <v>5.7</v>
      </c>
      <c r="E50" s="17"/>
      <c r="F50" s="9"/>
    </row>
    <row r="51" spans="1:6" x14ac:dyDescent="0.35">
      <c r="A51" s="6" t="s">
        <v>29</v>
      </c>
      <c r="B51" s="11">
        <f>E27</f>
        <v>0.90999999999999992</v>
      </c>
      <c r="C51" s="12" t="str">
        <f>IF(ROUND(B27,4)=1,"OK","Erreur")</f>
        <v>OK</v>
      </c>
      <c r="D51" s="12">
        <f>D27</f>
        <v>5.6</v>
      </c>
      <c r="E51" s="17"/>
      <c r="F51" s="9"/>
    </row>
    <row r="52" spans="1:6" x14ac:dyDescent="0.35">
      <c r="A52" s="6" t="s">
        <v>39</v>
      </c>
      <c r="B52" s="11">
        <f>E36</f>
        <v>0.90749999999999997</v>
      </c>
      <c r="C52" s="12" t="str">
        <f>IF(ROUND(B36,4)=1,"OK","Erreur")</f>
        <v>OK</v>
      </c>
      <c r="D52" s="12">
        <f>D36</f>
        <v>5.5</v>
      </c>
      <c r="E52" s="17"/>
      <c r="F52" s="9"/>
    </row>
    <row r="53" spans="1:6" x14ac:dyDescent="0.35">
      <c r="A53" s="6" t="s">
        <v>51</v>
      </c>
      <c r="B53" s="11">
        <f>E45</f>
        <v>0.81</v>
      </c>
      <c r="C53" s="12" t="str">
        <f>IF(ROUND(B45,4)=1,"OK","Erreur")</f>
        <v>OK</v>
      </c>
      <c r="D53" s="12">
        <f>D45</f>
        <v>5.0999999999999996</v>
      </c>
      <c r="E53" s="17"/>
      <c r="F53" s="9"/>
    </row>
  </sheetData>
  <pageMargins left="0.7" right="0.7" top="0.75" bottom="0.75" header="0.3" footer="0.3"/>
  <pageSetup paperSize="9" scale="67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Auto-évaluation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Nunes</dc:creator>
  <cp:lastModifiedBy>Alessandro Nunes</cp:lastModifiedBy>
  <dcterms:created xsi:type="dcterms:W3CDTF">2026-10-14T09:54:31Z</dcterms:created>
  <dcterms:modified xsi:type="dcterms:W3CDTF">2026-10-14T09:54:38Z</dcterms:modified>
</cp:coreProperties>
</file>