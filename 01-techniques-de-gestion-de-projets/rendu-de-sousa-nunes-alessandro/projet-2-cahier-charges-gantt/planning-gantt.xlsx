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e8758c4b754eab/Bureau/E3-Gestion-de-projets-PPE/01-techniques-de-gestion-de-projets/rendu-de-sousa-nunes-alessandro/projet-2-cahier-charges-gantt/"/>
    </mc:Choice>
  </mc:AlternateContent>
  <xr:revisionPtr revIDLastSave="10" documentId="8_{3A977EDB-7773-4313-8E24-2E865FBDD732}" xr6:coauthVersionLast="47" xr6:coauthVersionMax="47" xr10:uidLastSave="{4F97A89C-CC36-447C-B27A-EAFF2F9AC0DA}"/>
  <bookViews>
    <workbookView xWindow="-110" yWindow="-110" windowWidth="25820" windowHeight="15500" xr2:uid="{AA88D5F3-5099-4AFB-9E88-DDB1477EE6E8}"/>
  </bookViews>
  <sheets>
    <sheet name="Planning Gan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O3" i="1" l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G10" i="1"/>
  <c r="F10" i="1"/>
  <c r="H10" i="1" s="1"/>
  <c r="E10" i="1"/>
  <c r="G8" i="1"/>
  <c r="F8" i="1"/>
  <c r="E8" i="1"/>
  <c r="H7" i="1"/>
  <c r="G7" i="1"/>
  <c r="F7" i="1"/>
  <c r="E7" i="1"/>
  <c r="H6" i="1"/>
  <c r="G6" i="1"/>
  <c r="F6" i="1"/>
  <c r="E6" i="1"/>
  <c r="H5" i="1"/>
  <c r="G5" i="1"/>
  <c r="F5" i="1"/>
  <c r="D2" i="1"/>
  <c r="E9" i="1" l="1"/>
  <c r="H8" i="1"/>
  <c r="G9" i="1" l="1"/>
  <c r="F9" i="1"/>
  <c r="H9" i="1" l="1"/>
  <c r="E11" i="1"/>
  <c r="G11" i="1" l="1"/>
  <c r="F11" i="1"/>
  <c r="E13" i="1" l="1"/>
  <c r="E12" i="1"/>
  <c r="H11" i="1"/>
  <c r="G13" i="1" l="1"/>
  <c r="F13" i="1"/>
  <c r="H13" i="1" s="1"/>
  <c r="G12" i="1"/>
  <c r="F12" i="1"/>
  <c r="E14" i="1" l="1"/>
  <c r="H12" i="1"/>
  <c r="G14" i="1" l="1"/>
  <c r="F14" i="1"/>
  <c r="E15" i="1" l="1"/>
  <c r="H14" i="1"/>
  <c r="G15" i="1" l="1"/>
  <c r="F15" i="1"/>
  <c r="D17" i="1" l="1"/>
  <c r="H15" i="1"/>
  <c r="D18" i="1" s="1"/>
  <c r="I15" i="1"/>
  <c r="J15" i="1" s="1"/>
  <c r="K15" i="1" l="1"/>
  <c r="L15" i="1" s="1"/>
  <c r="I14" i="1"/>
  <c r="J14" i="1" s="1"/>
  <c r="I12" i="1" l="1"/>
  <c r="J12" i="1" s="1"/>
  <c r="I13" i="1"/>
  <c r="J13" i="1" s="1"/>
  <c r="K13" i="1" s="1"/>
  <c r="L13" i="1" s="1"/>
  <c r="K14" i="1"/>
  <c r="L14" i="1" s="1"/>
  <c r="K12" i="1" l="1"/>
  <c r="L12" i="1" s="1"/>
  <c r="I11" i="1"/>
  <c r="J11" i="1" s="1"/>
  <c r="K11" i="1" l="1"/>
  <c r="L11" i="1" s="1"/>
  <c r="I10" i="1"/>
  <c r="J10" i="1" s="1"/>
  <c r="I9" i="1"/>
  <c r="J9" i="1" s="1"/>
  <c r="K10" i="1" l="1"/>
  <c r="L10" i="1" s="1"/>
  <c r="I7" i="1"/>
  <c r="J7" i="1" s="1"/>
  <c r="I8" i="1"/>
  <c r="J8" i="1" s="1"/>
  <c r="K8" i="1" s="1"/>
  <c r="L8" i="1" s="1"/>
  <c r="K9" i="1"/>
  <c r="L9" i="1" s="1"/>
  <c r="K7" i="1" l="1"/>
  <c r="L7" i="1" s="1"/>
  <c r="I6" i="1"/>
  <c r="J6" i="1" s="1"/>
  <c r="I5" i="1" l="1"/>
  <c r="J5" i="1" s="1"/>
  <c r="K5" i="1" s="1"/>
  <c r="L5" i="1" s="1"/>
  <c r="D19" i="1" s="1" a="1"/>
  <c r="K6" i="1"/>
  <c r="L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<sst xmlns="http://schemas.openxmlformats.org/spreadsheetml/2006/main" count="53" uniqueCount="45">
  <si>
    <t>Planning Gantt - Outil de réservation de salles (client : fiduciaire)</t>
  </si>
  <si>
    <t>Début du projet :</t>
  </si>
  <si>
    <t>De Sousa Nunes Alessandro - CFC 3</t>
  </si>
  <si>
    <t>ID</t>
  </si>
  <si>
    <t>Tâche</t>
  </si>
  <si>
    <t>Durée (j)</t>
  </si>
  <si>
    <t>Prédécesseurs</t>
  </si>
  <si>
    <t>Début (j)</t>
  </si>
  <si>
    <t>Fin (j)</t>
  </si>
  <si>
    <t>Date début</t>
  </si>
  <si>
    <t>Date fin</t>
  </si>
  <si>
    <t>Fin au plus tard</t>
  </si>
  <si>
    <t>Début au plus tard</t>
  </si>
  <si>
    <t>Marge (j)</t>
  </si>
  <si>
    <t>Critique</t>
  </si>
  <si>
    <t>A</t>
  </si>
  <si>
    <t>Cadrage et réunion de lancement</t>
  </si>
  <si>
    <t>-</t>
  </si>
  <si>
    <t>B</t>
  </si>
  <si>
    <t>Analyse détaillée des besoins</t>
  </si>
  <si>
    <t>C</t>
  </si>
  <si>
    <t>Maquettes de l'interface</t>
  </si>
  <si>
    <t>D</t>
  </si>
  <si>
    <t>Modèle de données</t>
  </si>
  <si>
    <t>E</t>
  </si>
  <si>
    <t>Développement back-end (API, base)</t>
  </si>
  <si>
    <t>F</t>
  </si>
  <si>
    <t>Développement front-end</t>
  </si>
  <si>
    <t>G</t>
  </si>
  <si>
    <t>Intégration front / back</t>
  </si>
  <si>
    <t>E, F</t>
  </si>
  <si>
    <t>H</t>
  </si>
  <si>
    <t>Tests et recette client</t>
  </si>
  <si>
    <t>I</t>
  </si>
  <si>
    <t>Documentation utilisateur</t>
  </si>
  <si>
    <t>J</t>
  </si>
  <si>
    <t>Formation des utilisateurs</t>
  </si>
  <si>
    <t>H, I</t>
  </si>
  <si>
    <t>K</t>
  </si>
  <si>
    <t>Mise en production</t>
  </si>
  <si>
    <t>Durée totale (jours ouvrés) :</t>
  </si>
  <si>
    <t>Fin prévue du projet :</t>
  </si>
  <si>
    <t>Chemin critique :</t>
  </si>
  <si>
    <t>Légende : rouge = tâche critique (marge 0), bleu = tâche avec marge. Dates, marges et chemin critique sont calculés par formules à partir des durées et des prédécesseurs.</t>
  </si>
  <si>
    <t>TEST 2 : durée de F passée de 7 à 9 jours (fichier non enregistré)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</si>
</sst>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4" fontId="0" fillId="0" borderId="0" xfId="0" applyNumberFormat="1" applyAlignment="1">
      <alignment horizontal="left"/>
    </xf>
    <xf numFmtId="0" fontId="3" fillId="0" borderId="0" xfId="0" applyFont="1" applyAlignment="1">
      <alignment horizontal="center" textRotation="90"/>
    </xf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vertical="center" wrapText="1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5" fillId="0" borderId="0" xfId="0" applyFont="1"/>
    <xf numFmtId="0" fontId="0" fillId="3" borderId="1" xfId="0" applyFill="1" applyBorder="1" applyAlignment="1">
      <alignment horizontal="center"/>
    </xf>
    <xf numFmtId="0" fontId="6" fillId="0" borderId="0" xfId="0" applyFont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3B78B5"/>
        </patternFill>
      </fill>
    </dxf>
    <dxf>
      <fill>
        <patternFill>
          <bgColor rgb="FFC0392B"/>
        </patternFill>
      </fill>
    </dxf>
    <dxf>
      <font>
        <b/>
        <i val="0"/>
        <color rgb="FFC0392B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3577-7393-4DC9-B80C-A5F31E088277}">
  <dimension ref="A1:AO23"/>
  <sheetViews>
    <sheetView tabSelected="1" zoomScale="90" zoomScaleNormal="90" workbookViewId="0"/>
  </sheetViews>
  <sheetFormatPr baseColWidth="10" defaultRowHeight="14.5" x14ac:dyDescent="0.35"/>
  <cols>
    <col min="1" max="1" width="4.6328125" customWidth="1"/>
    <col min="2" max="2" width="34.6328125" customWidth="1"/>
    <col min="3" max="3" width="8.6328125" customWidth="1"/>
    <col min="4" max="4" width="13.6328125" customWidth="1"/>
    <col min="5" max="6" width="8.6328125" customWidth="1"/>
    <col min="7" max="8" width="11.6328125" customWidth="1"/>
    <col min="9" max="10" width="10.6328125" customWidth="1"/>
    <col min="11" max="12" width="8.6328125" customWidth="1"/>
    <col min="13" max="13" width="2.1796875" customWidth="1"/>
    <col min="14" max="41" width="3.81640625" customWidth="1"/>
  </cols>
  <sheetData>
    <row r="1" spans="1:41" ht="18.5" x14ac:dyDescent="0.45">
      <c r="A1" s="1" t="s">
        <v>0</v>
      </c>
    </row>
    <row r="2" spans="1:41" x14ac:dyDescent="0.35">
      <c r="A2" t="s">
        <v>1</v>
      </c>
      <c r="D2" s="2">
        <f>DATE(2026,11,2)</f>
        <v>46328</v>
      </c>
      <c r="F2" t="s">
        <v>2</v>
      </c>
    </row>
    <row r="3" spans="1:41" ht="34" customHeight="1" x14ac:dyDescent="0.35">
      <c r="N3" s="3" t="str">
        <f>DAY(WORKDAY($D$2,0))&amp;"."&amp;MONTH(WORKDAY($D$2,0))</f>
        <v>2.11</v>
      </c>
      <c r="O3" s="3" t="str">
        <f>DAY(WORKDAY($D$2,1))&amp;"."&amp;MONTH(WORKDAY($D$2,1))</f>
        <v>3.11</v>
      </c>
      <c r="P3" s="3" t="str">
        <f>DAY(WORKDAY($D$2,2))&amp;"."&amp;MONTH(WORKDAY($D$2,2))</f>
        <v>4.11</v>
      </c>
      <c r="Q3" s="3" t="str">
        <f>DAY(WORKDAY($D$2,3))&amp;"."&amp;MONTH(WORKDAY($D$2,3))</f>
        <v>5.11</v>
      </c>
      <c r="R3" s="3" t="str">
        <f>DAY(WORKDAY($D$2,4))&amp;"."&amp;MONTH(WORKDAY($D$2,4))</f>
        <v>6.11</v>
      </c>
      <c r="S3" s="3" t="str">
        <f>DAY(WORKDAY($D$2,5))&amp;"."&amp;MONTH(WORKDAY($D$2,5))</f>
        <v>9.11</v>
      </c>
      <c r="T3" s="3" t="str">
        <f>DAY(WORKDAY($D$2,6))&amp;"."&amp;MONTH(WORKDAY($D$2,6))</f>
        <v>10.11</v>
      </c>
      <c r="U3" s="3" t="str">
        <f>DAY(WORKDAY($D$2,7))&amp;"."&amp;MONTH(WORKDAY($D$2,7))</f>
        <v>11.11</v>
      </c>
      <c r="V3" s="3" t="str">
        <f>DAY(WORKDAY($D$2,8))&amp;"."&amp;MONTH(WORKDAY($D$2,8))</f>
        <v>12.11</v>
      </c>
      <c r="W3" s="3" t="str">
        <f>DAY(WORKDAY($D$2,9))&amp;"."&amp;MONTH(WORKDAY($D$2,9))</f>
        <v>13.11</v>
      </c>
      <c r="X3" s="3" t="str">
        <f>DAY(WORKDAY($D$2,10))&amp;"."&amp;MONTH(WORKDAY($D$2,10))</f>
        <v>16.11</v>
      </c>
      <c r="Y3" s="3" t="str">
        <f>DAY(WORKDAY($D$2,11))&amp;"."&amp;MONTH(WORKDAY($D$2,11))</f>
        <v>17.11</v>
      </c>
      <c r="Z3" s="3" t="str">
        <f>DAY(WORKDAY($D$2,12))&amp;"."&amp;MONTH(WORKDAY($D$2,12))</f>
        <v>18.11</v>
      </c>
      <c r="AA3" s="3" t="str">
        <f>DAY(WORKDAY($D$2,13))&amp;"."&amp;MONTH(WORKDAY($D$2,13))</f>
        <v>19.11</v>
      </c>
      <c r="AB3" s="3" t="str">
        <f>DAY(WORKDAY($D$2,14))&amp;"."&amp;MONTH(WORKDAY($D$2,14))</f>
        <v>20.11</v>
      </c>
      <c r="AC3" s="3" t="str">
        <f>DAY(WORKDAY($D$2,15))&amp;"."&amp;MONTH(WORKDAY($D$2,15))</f>
        <v>23.11</v>
      </c>
      <c r="AD3" s="3" t="str">
        <f>DAY(WORKDAY($D$2,16))&amp;"."&amp;MONTH(WORKDAY($D$2,16))</f>
        <v>24.11</v>
      </c>
      <c r="AE3" s="3" t="str">
        <f>DAY(WORKDAY($D$2,17))&amp;"."&amp;MONTH(WORKDAY($D$2,17))</f>
        <v>25.11</v>
      </c>
      <c r="AF3" s="3" t="str">
        <f>DAY(WORKDAY($D$2,18))&amp;"."&amp;MONTH(WORKDAY($D$2,18))</f>
        <v>26.11</v>
      </c>
      <c r="AG3" s="3" t="str">
        <f>DAY(WORKDAY($D$2,19))&amp;"."&amp;MONTH(WORKDAY($D$2,19))</f>
        <v>27.11</v>
      </c>
      <c r="AH3" s="3" t="str">
        <f>DAY(WORKDAY($D$2,20))&amp;"."&amp;MONTH(WORKDAY($D$2,20))</f>
        <v>30.11</v>
      </c>
      <c r="AI3" s="3" t="str">
        <f>DAY(WORKDAY($D$2,21))&amp;"."&amp;MONTH(WORKDAY($D$2,21))</f>
        <v>1.12</v>
      </c>
      <c r="AJ3" s="3" t="str">
        <f>DAY(WORKDAY($D$2,22))&amp;"."&amp;MONTH(WORKDAY($D$2,22))</f>
        <v>2.12</v>
      </c>
      <c r="AK3" s="3" t="str">
        <f>DAY(WORKDAY($D$2,23))&amp;"."&amp;MONTH(WORKDAY($D$2,23))</f>
        <v>3.12</v>
      </c>
      <c r="AL3" s="3" t="str">
        <f>DAY(WORKDAY($D$2,24))&amp;"."&amp;MONTH(WORKDAY($D$2,24))</f>
        <v>4.12</v>
      </c>
      <c r="AM3" s="3" t="str">
        <f>DAY(WORKDAY($D$2,25))&amp;"."&amp;MONTH(WORKDAY($D$2,25))</f>
        <v>7.12</v>
      </c>
      <c r="AN3" s="3" t="str">
        <f>DAY(WORKDAY($D$2,26))&amp;"."&amp;MONTH(WORKDAY($D$2,26))</f>
        <v>8.12</v>
      </c>
      <c r="AO3" s="3" t="str">
        <f>DAY(WORKDAY($D$2,27))&amp;"."&amp;MONTH(WORKDAY($D$2,27))</f>
        <v>9.12</v>
      </c>
    </row>
    <row r="4" spans="1:41" ht="30" customHeight="1" x14ac:dyDescent="0.35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N4" s="7">
        <v>1</v>
      </c>
      <c r="O4" s="7">
        <v>2</v>
      </c>
      <c r="P4" s="7">
        <v>3</v>
      </c>
      <c r="Q4" s="7">
        <v>4</v>
      </c>
      <c r="R4" s="7">
        <v>5</v>
      </c>
      <c r="S4" s="7">
        <v>6</v>
      </c>
      <c r="T4" s="7">
        <v>7</v>
      </c>
      <c r="U4" s="7">
        <v>8</v>
      </c>
      <c r="V4" s="7">
        <v>9</v>
      </c>
      <c r="W4" s="7">
        <v>10</v>
      </c>
      <c r="X4" s="7">
        <v>11</v>
      </c>
      <c r="Y4" s="7">
        <v>12</v>
      </c>
      <c r="Z4" s="7">
        <v>13</v>
      </c>
      <c r="AA4" s="7">
        <v>14</v>
      </c>
      <c r="AB4" s="7">
        <v>15</v>
      </c>
      <c r="AC4" s="7">
        <v>16</v>
      </c>
      <c r="AD4" s="7">
        <v>17</v>
      </c>
      <c r="AE4" s="7">
        <v>18</v>
      </c>
      <c r="AF4" s="7">
        <v>19</v>
      </c>
      <c r="AG4" s="7">
        <v>20</v>
      </c>
      <c r="AH4" s="7">
        <v>21</v>
      </c>
      <c r="AI4" s="7">
        <v>22</v>
      </c>
      <c r="AJ4" s="7">
        <v>23</v>
      </c>
      <c r="AK4" s="7">
        <v>24</v>
      </c>
      <c r="AL4" s="7">
        <v>25</v>
      </c>
      <c r="AM4" s="7">
        <v>26</v>
      </c>
      <c r="AN4" s="7">
        <v>27</v>
      </c>
      <c r="AO4" s="7">
        <v>28</v>
      </c>
    </row>
    <row r="5" spans="1:41" x14ac:dyDescent="0.35">
      <c r="A5" s="4" t="s">
        <v>15</v>
      </c>
      <c r="B5" s="4" t="s">
        <v>16</v>
      </c>
      <c r="C5" s="10">
        <v>2</v>
      </c>
      <c r="D5" s="10" t="s">
        <v>17</v>
      </c>
      <c r="E5" s="10">
        <v>0</v>
      </c>
      <c r="F5" s="10">
        <f t="shared" ref="F5:F15" si="0">E5+C5</f>
        <v>2</v>
      </c>
      <c r="G5" s="9">
        <f t="shared" ref="G5:G15" si="1">WORKDAY($D$2,E5)</f>
        <v>46328</v>
      </c>
      <c r="H5" s="9">
        <f t="shared" ref="H5:H15" si="2">WORKDAY($D$2,F5-1)</f>
        <v>46329</v>
      </c>
      <c r="I5" s="10">
        <f>J6</f>
        <v>2</v>
      </c>
      <c r="J5" s="10">
        <f t="shared" ref="J5:J15" si="3">I5-C5</f>
        <v>0</v>
      </c>
      <c r="K5" s="10">
        <f t="shared" ref="K5:K15" si="4">J5-E5</f>
        <v>0</v>
      </c>
      <c r="L5" s="10" t="str">
        <f t="shared" ref="L5:L15" si="5">IF(K5=0,"Oui","Non")</f>
        <v>Oui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35">
      <c r="A6" s="4" t="s">
        <v>18</v>
      </c>
      <c r="B6" s="4" t="s">
        <v>19</v>
      </c>
      <c r="C6" s="10">
        <v>4</v>
      </c>
      <c r="D6" s="10" t="s">
        <v>15</v>
      </c>
      <c r="E6" s="10">
        <f>F5</f>
        <v>2</v>
      </c>
      <c r="F6" s="10">
        <f t="shared" si="0"/>
        <v>6</v>
      </c>
      <c r="G6" s="9">
        <f t="shared" si="1"/>
        <v>46330</v>
      </c>
      <c r="H6" s="9">
        <f t="shared" si="2"/>
        <v>46335</v>
      </c>
      <c r="I6" s="10">
        <f>MIN(J7,J8)</f>
        <v>6</v>
      </c>
      <c r="J6" s="10">
        <f t="shared" si="3"/>
        <v>2</v>
      </c>
      <c r="K6" s="10">
        <f t="shared" si="4"/>
        <v>0</v>
      </c>
      <c r="L6" s="10" t="str">
        <f t="shared" si="5"/>
        <v>Oui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35">
      <c r="A7" s="4" t="s">
        <v>20</v>
      </c>
      <c r="B7" s="4" t="s">
        <v>21</v>
      </c>
      <c r="C7" s="10">
        <v>5</v>
      </c>
      <c r="D7" s="10" t="s">
        <v>18</v>
      </c>
      <c r="E7" s="10">
        <f>F6</f>
        <v>6</v>
      </c>
      <c r="F7" s="10">
        <f t="shared" si="0"/>
        <v>11</v>
      </c>
      <c r="G7" s="9">
        <f t="shared" si="1"/>
        <v>46336</v>
      </c>
      <c r="H7" s="9">
        <f t="shared" si="2"/>
        <v>46342</v>
      </c>
      <c r="I7" s="10">
        <f>J10</f>
        <v>11</v>
      </c>
      <c r="J7" s="10">
        <f t="shared" si="3"/>
        <v>6</v>
      </c>
      <c r="K7" s="10">
        <f t="shared" si="4"/>
        <v>0</v>
      </c>
      <c r="L7" s="10" t="str">
        <f t="shared" si="5"/>
        <v>Oui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35">
      <c r="A8" s="4" t="s">
        <v>22</v>
      </c>
      <c r="B8" s="4" t="s">
        <v>23</v>
      </c>
      <c r="C8" s="16">
        <v>3</v>
      </c>
      <c r="D8" s="10" t="s">
        <v>18</v>
      </c>
      <c r="E8" s="10">
        <f>F6</f>
        <v>6</v>
      </c>
      <c r="F8" s="10">
        <f t="shared" si="0"/>
        <v>9</v>
      </c>
      <c r="G8" s="9">
        <f t="shared" si="1"/>
        <v>46336</v>
      </c>
      <c r="H8" s="9">
        <f t="shared" si="2"/>
        <v>46338</v>
      </c>
      <c r="I8" s="10">
        <f>J9</f>
        <v>12</v>
      </c>
      <c r="J8" s="10">
        <f t="shared" si="3"/>
        <v>9</v>
      </c>
      <c r="K8" s="10">
        <f t="shared" si="4"/>
        <v>3</v>
      </c>
      <c r="L8" s="10" t="str">
        <f t="shared" si="5"/>
        <v>Non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35">
      <c r="A9" s="4" t="s">
        <v>24</v>
      </c>
      <c r="B9" s="4" t="s">
        <v>25</v>
      </c>
      <c r="C9" s="10">
        <v>8</v>
      </c>
      <c r="D9" s="10" t="s">
        <v>22</v>
      </c>
      <c r="E9" s="10">
        <f>F8</f>
        <v>9</v>
      </c>
      <c r="F9" s="10">
        <f t="shared" si="0"/>
        <v>17</v>
      </c>
      <c r="G9" s="9">
        <f t="shared" si="1"/>
        <v>46339</v>
      </c>
      <c r="H9" s="9">
        <f t="shared" si="2"/>
        <v>46350</v>
      </c>
      <c r="I9" s="10">
        <f>J11</f>
        <v>20</v>
      </c>
      <c r="J9" s="10">
        <f t="shared" si="3"/>
        <v>12</v>
      </c>
      <c r="K9" s="10">
        <f t="shared" si="4"/>
        <v>3</v>
      </c>
      <c r="L9" s="10" t="str">
        <f t="shared" si="5"/>
        <v>Non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35">
      <c r="A10" s="4" t="s">
        <v>26</v>
      </c>
      <c r="B10" s="4" t="s">
        <v>27</v>
      </c>
      <c r="C10" s="14">
        <v>9</v>
      </c>
      <c r="D10" s="10" t="s">
        <v>20</v>
      </c>
      <c r="E10" s="10">
        <f>F7</f>
        <v>11</v>
      </c>
      <c r="F10" s="10">
        <f t="shared" si="0"/>
        <v>20</v>
      </c>
      <c r="G10" s="9">
        <f t="shared" si="1"/>
        <v>46343</v>
      </c>
      <c r="H10" s="9">
        <f t="shared" si="2"/>
        <v>46353</v>
      </c>
      <c r="I10" s="10">
        <f>J11</f>
        <v>20</v>
      </c>
      <c r="J10" s="10">
        <f t="shared" si="3"/>
        <v>11</v>
      </c>
      <c r="K10" s="10">
        <f t="shared" si="4"/>
        <v>0</v>
      </c>
      <c r="L10" s="10" t="str">
        <f t="shared" si="5"/>
        <v>Oui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35">
      <c r="A11" s="4" t="s">
        <v>28</v>
      </c>
      <c r="B11" s="4" t="s">
        <v>29</v>
      </c>
      <c r="C11" s="10">
        <v>3</v>
      </c>
      <c r="D11" s="10" t="s">
        <v>30</v>
      </c>
      <c r="E11" s="10">
        <f>MAX(F9,F10)</f>
        <v>20</v>
      </c>
      <c r="F11" s="10">
        <f t="shared" si="0"/>
        <v>23</v>
      </c>
      <c r="G11" s="9">
        <f t="shared" si="1"/>
        <v>46356</v>
      </c>
      <c r="H11" s="9">
        <f t="shared" si="2"/>
        <v>46358</v>
      </c>
      <c r="I11" s="10">
        <f>MIN(J12,J13)</f>
        <v>23</v>
      </c>
      <c r="J11" s="10">
        <f t="shared" si="3"/>
        <v>20</v>
      </c>
      <c r="K11" s="10">
        <f t="shared" si="4"/>
        <v>0</v>
      </c>
      <c r="L11" s="10" t="str">
        <f t="shared" si="5"/>
        <v>Oui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35">
      <c r="A12" s="4" t="s">
        <v>31</v>
      </c>
      <c r="B12" s="4" t="s">
        <v>32</v>
      </c>
      <c r="C12" s="10">
        <v>4</v>
      </c>
      <c r="D12" s="10" t="s">
        <v>28</v>
      </c>
      <c r="E12" s="10">
        <f>F11</f>
        <v>23</v>
      </c>
      <c r="F12" s="10">
        <f t="shared" si="0"/>
        <v>27</v>
      </c>
      <c r="G12" s="9">
        <f t="shared" si="1"/>
        <v>46359</v>
      </c>
      <c r="H12" s="9">
        <f t="shared" si="2"/>
        <v>46364</v>
      </c>
      <c r="I12" s="10">
        <f>J14</f>
        <v>27</v>
      </c>
      <c r="J12" s="10">
        <f t="shared" si="3"/>
        <v>23</v>
      </c>
      <c r="K12" s="10">
        <f t="shared" si="4"/>
        <v>0</v>
      </c>
      <c r="L12" s="10" t="str">
        <f t="shared" si="5"/>
        <v>Oui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35">
      <c r="A13" s="4" t="s">
        <v>33</v>
      </c>
      <c r="B13" s="4" t="s">
        <v>34</v>
      </c>
      <c r="C13" s="10">
        <v>3</v>
      </c>
      <c r="D13" s="10" t="s">
        <v>28</v>
      </c>
      <c r="E13" s="10">
        <f>F11</f>
        <v>23</v>
      </c>
      <c r="F13" s="10">
        <f t="shared" si="0"/>
        <v>26</v>
      </c>
      <c r="G13" s="9">
        <f t="shared" si="1"/>
        <v>46359</v>
      </c>
      <c r="H13" s="9">
        <f t="shared" si="2"/>
        <v>46363</v>
      </c>
      <c r="I13" s="10">
        <f>J14</f>
        <v>27</v>
      </c>
      <c r="J13" s="10">
        <f t="shared" si="3"/>
        <v>24</v>
      </c>
      <c r="K13" s="10">
        <f t="shared" si="4"/>
        <v>1</v>
      </c>
      <c r="L13" s="10" t="str">
        <f t="shared" si="5"/>
        <v>Non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35">
      <c r="A14" s="4" t="s">
        <v>35</v>
      </c>
      <c r="B14" s="4" t="s">
        <v>36</v>
      </c>
      <c r="C14" s="10">
        <v>2</v>
      </c>
      <c r="D14" s="10" t="s">
        <v>37</v>
      </c>
      <c r="E14" s="10">
        <f>MAX(F12,F13)</f>
        <v>27</v>
      </c>
      <c r="F14" s="10">
        <f t="shared" si="0"/>
        <v>29</v>
      </c>
      <c r="G14" s="9">
        <f t="shared" si="1"/>
        <v>46365</v>
      </c>
      <c r="H14" s="9">
        <f t="shared" si="2"/>
        <v>46366</v>
      </c>
      <c r="I14" s="10">
        <f>J15</f>
        <v>29</v>
      </c>
      <c r="J14" s="10">
        <f t="shared" si="3"/>
        <v>27</v>
      </c>
      <c r="K14" s="10">
        <f t="shared" si="4"/>
        <v>0</v>
      </c>
      <c r="L14" s="10" t="str">
        <f t="shared" si="5"/>
        <v>Oui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35">
      <c r="A15" s="4" t="s">
        <v>38</v>
      </c>
      <c r="B15" s="4" t="s">
        <v>39</v>
      </c>
      <c r="C15" s="10">
        <v>1</v>
      </c>
      <c r="D15" s="10" t="s">
        <v>35</v>
      </c>
      <c r="E15" s="10">
        <f>F14</f>
        <v>29</v>
      </c>
      <c r="F15" s="10">
        <f t="shared" si="0"/>
        <v>30</v>
      </c>
      <c r="G15" s="9">
        <f t="shared" si="1"/>
        <v>46367</v>
      </c>
      <c r="H15" s="9">
        <f t="shared" si="2"/>
        <v>46367</v>
      </c>
      <c r="I15" s="10">
        <f>F15</f>
        <v>30</v>
      </c>
      <c r="J15" s="10">
        <f t="shared" si="3"/>
        <v>29</v>
      </c>
      <c r="K15" s="10">
        <f t="shared" si="4"/>
        <v>0</v>
      </c>
      <c r="L15" s="10" t="str">
        <f t="shared" si="5"/>
        <v>Oui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7" spans="1:4" x14ac:dyDescent="0.35">
      <c r="A17" s="6" t="s">
        <v>40</v>
      </c>
      <c r="B17" s="6"/>
      <c r="C17" s="6"/>
      <c r="D17" s="11">
        <f>MAX(F5:F15)</f>
        <v>30</v>
      </c>
    </row>
    <row r="18" spans="1:4" x14ac:dyDescent="0.35">
      <c r="A18" s="6" t="s">
        <v>41</v>
      </c>
      <c r="B18" s="6"/>
      <c r="C18" s="6"/>
      <c r="D18" s="12">
        <f>MAX(H5:H15)</f>
        <v>46367</v>
      </c>
    </row>
    <row r="19" spans="1:4" x14ac:dyDescent="0.35">
      <c r="A19" s="6" t="s">
        <v>42</v>
      </c>
      <c r="B19" s="6"/>
      <c r="C19" s="6"/>
      <c r="D19" s="11" t="str" cm="1">
        <f t="array" ref="D19">_xlfn.TEXTJOIN(" &gt; ",TRUE,IF(L5:L15="Oui",A5:A15,""))</f>
        <v>A &gt; B &gt; C &gt; F &gt; G &gt; H &gt; J &gt; K</v>
      </c>
    </row>
    <row r="21" spans="1:4" x14ac:dyDescent="0.35">
      <c r="A21" s="13" t="s">
        <v>43</v>
      </c>
    </row>
    <row r="23" spans="1:4" x14ac:dyDescent="0.35">
      <c r="A23" s="15" t="s">
        <v>44</v>
      </c>
    </row>
  </sheetData>
  <conditionalFormatting sqref="L5:L15">
    <cfRule type="cellIs" dxfId="2" priority="3" stopIfTrue="1" operator="equal">
      <formula>"Oui"</formula>
    </cfRule>
  </conditionalFormatting>
  <conditionalFormatting sqref="N5:AO15">
    <cfRule type="expression" dxfId="1" priority="1" stopIfTrue="1">
      <formula>(N$4&gt;$E5)*(N$4&lt;=$F5)*($K5=0)</formula>
    </cfRule>
    <cfRule type="expression" dxfId="0" priority="2" stopIfTrue="1">
      <formula>(N$4&gt;$E5)*(N$4&lt;=$F5)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 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Nunes</dc:creator>
  <cp:lastModifiedBy>Alessandro Nunes</cp:lastModifiedBy>
  <dcterms:created xsi:type="dcterms:W3CDTF">2026-10-14T08:53:36Z</dcterms:created>
  <dcterms:modified xsi:type="dcterms:W3CDTF">2026-10-14T08:55:17Z</dcterms:modified>
</cp:coreProperties>
</file>