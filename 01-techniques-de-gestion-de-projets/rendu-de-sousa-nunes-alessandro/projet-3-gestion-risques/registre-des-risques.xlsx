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e8758c4b754eab/Bureau/E3-Gestion-de-projets-PPE/01-techniques-de-gestion-de-projets/rendu-de-sousa-nunes-alessandro/projet-3-gestion-risques/"/>
    </mc:Choice>
  </mc:AlternateContent>
  <xr:revisionPtr revIDLastSave="3" documentId="8_{C627057A-B6EC-4772-A577-7993F79C1D8F}" xr6:coauthVersionLast="47" xr6:coauthVersionMax="47" xr10:uidLastSave="{C571315C-5782-43F1-B804-37A0A3FDD2C7}"/>
  <bookViews>
    <workbookView xWindow="-110" yWindow="-110" windowWidth="25820" windowHeight="15500" xr2:uid="{30C5AD8F-1FBE-4627-8D5A-704D1AF23426}"/>
  </bookViews>
  <sheets>
    <sheet name="Registre des risques" sheetId="1" r:id="rId1"/>
    <sheet name="Matrice P-I" sheetId="2" r:id="rId2"/>
    <sheet name="Échel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" i="2" l="1" a="1"/>
  <c r="G8" i="2" a="1"/>
  <c r="F8" i="2" a="1"/>
  <c r="E8" i="2" a="1"/>
  <c r="D8" i="2" a="1"/>
  <c r="H7" i="2" a="1"/>
  <c r="G7" i="2" a="1"/>
  <c r="F7" i="2" a="1"/>
  <c r="E7" i="2" a="1"/>
  <c r="D7" i="2" a="1"/>
  <c r="H6" i="2" a="1"/>
  <c r="G6" i="2" a="1"/>
  <c r="F6" i="2" a="1"/>
  <c r="E6" i="2" a="1"/>
  <c r="D6" i="2" a="1"/>
  <c r="H5" i="2" a="1"/>
  <c r="G5" i="2" a="1"/>
  <c r="F5" i="2" a="1"/>
  <c r="E5" i="2" a="1"/>
  <c r="D5" i="2" a="1"/>
  <c r="H4" i="2" a="1"/>
  <c r="G4" i="2" a="1"/>
  <c r="F4" i="2" a="1"/>
  <c r="E4" i="2" a="1"/>
  <c r="D4" i="2" a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<sst xmlns="http://schemas.openxmlformats.org/spreadsheetml/2006/main" count="130" uniqueCount="106">
  <si>
    <t>Registre des risques - Migration de la messagerie vers une solution cloud</t>
  </si>
  <si>
    <t>De Sousa Nunes Alessandro - CFC 3</t>
  </si>
  <si>
    <t>ID</t>
  </si>
  <si>
    <t>Risque</t>
  </si>
  <si>
    <t>Catégorie</t>
  </si>
  <si>
    <t>Cause</t>
  </si>
  <si>
    <t>Conséquence</t>
  </si>
  <si>
    <t>Proba. (1-5)</t>
  </si>
  <si>
    <t>Impact (1-5)</t>
  </si>
  <si>
    <t>Score</t>
  </si>
  <si>
    <t>Niveau</t>
  </si>
  <si>
    <t>Rang</t>
  </si>
  <si>
    <t>Stratégie</t>
  </si>
  <si>
    <t>Mesure préventive</t>
  </si>
  <si>
    <t>Responsable</t>
  </si>
  <si>
    <t>R1</t>
  </si>
  <si>
    <t>Perte ou corruption de courriels pendant la migration des boîtes</t>
  </si>
  <si>
    <t>Technique</t>
  </si>
  <si>
    <t>Boîtes volumineuses, coupure pendant le transfert, outil de migration mal paramétré</t>
  </si>
  <si>
    <t>Perte d'historique client, problème légal (conservation des pièces 10 ans)</t>
  </si>
  <si>
    <t>Réduire</t>
  </si>
  <si>
    <t>Sauvegarde complète avant migration, migration pilote sur 3 boîtes, contrôle du nombre d'éléments avant/après</t>
  </si>
  <si>
    <t>Admin système</t>
  </si>
  <si>
    <t>R2</t>
  </si>
  <si>
    <t>Messagerie indisponible le jour du basculement</t>
  </si>
  <si>
    <t>Basculement des enregistrements DNS (MX), synchronisation incomplète</t>
  </si>
  <si>
    <t>Courriels clients non reçus, activité bloquée</t>
  </si>
  <si>
    <t>Basculement un vendredi soir, TTL DNS abaissé 48 h avant, plan de retour arrière</t>
  </si>
  <si>
    <t>R3</t>
  </si>
  <si>
    <t>Utilisateurs perdus avec le nouvel outil (résistance au changement)</t>
  </si>
  <si>
    <t>Humain</t>
  </si>
  <si>
    <t>Changement d'interface, pas de formation, habitudes</t>
  </si>
  <si>
    <t>Baisse de productivité, nombreux appels au support, rejet du projet</t>
  </si>
  <si>
    <t>Communication dès le lancement, formation courte, guide d'une page, référents par service</t>
  </si>
  <si>
    <t>Chef de projet</t>
  </si>
  <si>
    <t>R4</t>
  </si>
  <si>
    <t>Dépassement du budget (licences, prestations)</t>
  </si>
  <si>
    <t>Organisationnel</t>
  </si>
  <si>
    <t>Nombre de licences mal estimé, heures de support externe en plus</t>
  </si>
  <si>
    <t>Budget dépassé, arbitrage de la direction</t>
  </si>
  <si>
    <t>Inventaire exact des comptes, devis fermes, réserve de 10 %</t>
  </si>
  <si>
    <t>R5</t>
  </si>
  <si>
    <t>Incompatibilité avec des appareils ou logiciels qui envoient des e-mails</t>
  </si>
  <si>
    <t>Scanner, imprimante multifonction, logiciel métier utilisant l'ancien serveur SMTP</t>
  </si>
  <si>
    <t>Envois automatiques bloqués (scans, factures)</t>
  </si>
  <si>
    <t>Inventaire des appareils qui envoient des e-mails, tests avant le basculement</t>
  </si>
  <si>
    <t>R6</t>
  </si>
  <si>
    <t>Mauvaise configuration de sécurité (SPF, DKIM, MFA)</t>
  </si>
  <si>
    <t>Paramétrage incomplet du nouveau domaine</t>
  </si>
  <si>
    <t>Courriels classés en spam, risque de phishing et d'usurpation</t>
  </si>
  <si>
    <t>Checklist de sécurité, activation MFA, contrôle avec un outil de test DNS</t>
  </si>
  <si>
    <t>R7</t>
  </si>
  <si>
    <t>Absence de la personne clé (admin système)</t>
  </si>
  <si>
    <t>Maladie, vacances, départ</t>
  </si>
  <si>
    <t>Projet bloqué ou retardé</t>
  </si>
  <si>
    <t>Documentation des étapes, binôme avec un deuxième technicien</t>
  </si>
  <si>
    <t>R8</t>
  </si>
  <si>
    <t>Mauvaise configuration DNS (MX) au basculement</t>
  </si>
  <si>
    <t>Erreur de saisie, propagation DNS</t>
  </si>
  <si>
    <t>Courriels rejetés ou perdus pendant plusieurs heures</t>
  </si>
  <si>
    <t>Double contrôle des enregistrements, test d'envoi externe juste après la modification</t>
  </si>
  <si>
    <t>R9</t>
  </si>
  <si>
    <t>Non-conformité à la protection des données (nLPD)</t>
  </si>
  <si>
    <t>Lieu d'hébergement des données non vérifié, pas d'analyse du contrat</t>
  </si>
  <si>
    <t>Sanction, perte de confiance des clients</t>
  </si>
  <si>
    <t>Transférer / réduire</t>
  </si>
  <si>
    <t>Choisir un hébergement en Suisse ou UE, faire valider le contrat par la direction</t>
  </si>
  <si>
    <t>Direction</t>
  </si>
  <si>
    <t>R10</t>
  </si>
  <si>
    <t>Bande passante insuffisante pendant la synchronisation</t>
  </si>
  <si>
    <t>Volume de données important, connexion partagée</t>
  </si>
  <si>
    <t>Migration plus lente, internet ralenti pour les utilisateurs</t>
  </si>
  <si>
    <t>Accepter</t>
  </si>
  <si>
    <t>Migration la nuit et le week-end, suivi du débit</t>
  </si>
  <si>
    <t>Score = probabilité x impact. Niveau : 12 et plus = critique, 8 à 11 = élevé, 4 à 7 = moyen, 1 à 3 = faible. En cas d'égalité de score, le risque avec le plus grand impact est classé avant.</t>
  </si>
  <si>
    <t>Matrice probabilité / impact</t>
  </si>
  <si>
    <t>Probabilité</t>
  </si>
  <si>
    <t>Impact</t>
  </si>
  <si>
    <t>5 - Très probable</t>
  </si>
  <si>
    <t>4 - Probable</t>
  </si>
  <si>
    <t>3 - Possible</t>
  </si>
  <si>
    <t>2 - Peu probable</t>
  </si>
  <si>
    <t>1 - Rare</t>
  </si>
  <si>
    <t>1 - Négligeable</t>
  </si>
  <si>
    <t>2 - Mineur</t>
  </si>
  <si>
    <t>3 - Moyen</t>
  </si>
  <si>
    <t>4 - Majeur</t>
  </si>
  <si>
    <t>5 - Grave</t>
  </si>
  <si>
    <t>Légende</t>
  </si>
  <si>
    <t>Critique (12-25)</t>
  </si>
  <si>
    <t>Élevé (8-11)</t>
  </si>
  <si>
    <t>Moyen (4-7)</t>
  </si>
  <si>
    <t>Faible (1-3)</t>
  </si>
  <si>
    <t>Les identifiants de chaque case sont calculés automatiquement à partir du registre (onglet Registre des risques).</t>
  </si>
  <si>
    <t>Échelles d'évaluation utilisées</t>
  </si>
  <si>
    <t>Note</t>
  </si>
  <si>
    <t>Rare : moins de 10 % de chance</t>
  </si>
  <si>
    <t>Négligeable : gêne mineure, aucun retard</t>
  </si>
  <si>
    <t>Peu probable : 10 à 30 %</t>
  </si>
  <si>
    <t>Mineur : retard de moins d'un jour, petit surcoût</t>
  </si>
  <si>
    <t>Possible : 30 à 50 %</t>
  </si>
  <si>
    <t>Moyen : retard de quelques jours ou gêne pour plusieurs utilisateurs</t>
  </si>
  <si>
    <t>Probable : 50 à 80 %</t>
  </si>
  <si>
    <t>Majeur : activité perturbée, retard d'une semaine, surcoût important</t>
  </si>
  <si>
    <t>Très probable : plus de 80 %</t>
  </si>
  <si>
    <t>Grave : perte de données, arrêt de l'activité ou problème légal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</si>
</sst>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3DD6E"/>
        <bgColor indexed="64"/>
      </patternFill>
    </fill>
    <fill>
      <patternFill patternType="solid">
        <fgColor rgb="FFF5B25C"/>
        <bgColor indexed="64"/>
      </patternFill>
    </fill>
    <fill>
      <patternFill patternType="solid">
        <fgColor rgb="FFE57368"/>
        <bgColor indexed="64"/>
      </patternFill>
    </fill>
    <fill>
      <patternFill patternType="solid">
        <fgColor rgb="FF9AD7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4" fillId="0" borderId="0" xfId="0" applyFont="1"/>
    <xf numFmtId="0" fontId="0" fillId="0" borderId="0" xfId="0" applyAlignment="1">
      <alignment horizontal="center" vertical="center" textRotation="90"/>
    </xf>
    <xf numFmtId="0" fontId="1" fillId="0" borderId="0" xfId="0" applyFont="1" applyAlignment="1">
      <alignment horizontal="center" vertical="center" textRotation="90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3" fillId="2" borderId="1" xfId="0" applyFont="1" applyFill="1" applyBorder="1"/>
    <xf numFmtId="0" fontId="0" fillId="0" borderId="1" xfId="0" applyBorder="1" applyAlignment="1">
      <alignment horizontal="center"/>
    </xf>
    <xf numFmtId="0" fontId="0" fillId="5" borderId="0" xfId="0" applyFill="1" applyAlignment="1">
      <alignment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6" borderId="0" xfId="0" applyFill="1" applyAlignment="1">
      <alignment vertical="center"/>
    </xf>
  </cellXfs>
  <cellStyles count="1">
    <cellStyle name="Normal" xfId="0" builtinId="0"/>
  </cellStyles>
  <dxfs count="4">
    <dxf>
      <fill>
        <patternFill>
          <bgColor rgb="FF9AD7A0"/>
        </patternFill>
      </fill>
    </dxf>
    <dxf>
      <fill>
        <patternFill>
          <bgColor rgb="FFF3DD6E"/>
        </patternFill>
      </fill>
    </dxf>
    <dxf>
      <fill>
        <patternFill>
          <bgColor rgb="FFF5B25C"/>
        </patternFill>
      </fill>
    </dxf>
    <dxf>
      <fill>
        <patternFill>
          <bgColor rgb="FFE5736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2419-BB02-4CAF-AB31-8A203A9739B4}">
  <dimension ref="A1:M16"/>
  <sheetViews>
    <sheetView tabSelected="1" zoomScale="80" zoomScaleNormal="80" workbookViewId="0"/>
  </sheetViews>
  <sheetFormatPr baseColWidth="10" defaultRowHeight="14.5" x14ac:dyDescent="0.35"/>
  <cols>
    <col min="1" max="1" width="5.6328125" customWidth="1"/>
    <col min="2" max="2" width="30.6328125" customWidth="1"/>
    <col min="3" max="3" width="16.6328125" customWidth="1"/>
    <col min="4" max="5" width="30.6328125" customWidth="1"/>
    <col min="6" max="7" width="8.6328125" customWidth="1"/>
    <col min="8" max="8" width="7.6328125" customWidth="1"/>
    <col min="9" max="9" width="9.6328125" customWidth="1"/>
    <col min="10" max="10" width="6.6328125" customWidth="1"/>
    <col min="11" max="11" width="12.6328125" customWidth="1"/>
    <col min="12" max="12" width="38.6328125" customWidth="1"/>
    <col min="13" max="13" width="13.6328125" customWidth="1"/>
  </cols>
  <sheetData>
    <row r="1" spans="1:13" ht="18.5" x14ac:dyDescent="0.45">
      <c r="A1" s="1" t="s">
        <v>0</v>
      </c>
    </row>
    <row r="2" spans="1:13" x14ac:dyDescent="0.35">
      <c r="A2" t="s">
        <v>1</v>
      </c>
    </row>
    <row r="4" spans="1:13" ht="29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ht="43.5" x14ac:dyDescent="0.35">
      <c r="A5" s="7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6">
        <v>3</v>
      </c>
      <c r="G5" s="6">
        <v>5</v>
      </c>
      <c r="H5" s="6">
        <f>F5*G5</f>
        <v>15</v>
      </c>
      <c r="I5" s="6" t="str">
        <f>IF(H5&gt;=12,"Critique",IF(H5&gt;=8,"Élevé",IF(H5&gt;=4,"Moyen","Faible")))</f>
        <v>Critique</v>
      </c>
      <c r="J5" s="6">
        <f>COUNTIF($H$5:$H$14,"&gt;"&amp;H5)+COUNTIFS($H$5:$H$14,H5,$G$5:$G$14,"&gt;"&amp;G5)+COUNTIFS($H$5:H5,H5,$G$5:G5,G5)</f>
        <v>1</v>
      </c>
      <c r="K5" s="5" t="s">
        <v>20</v>
      </c>
      <c r="L5" s="5" t="s">
        <v>21</v>
      </c>
      <c r="M5" s="5" t="s">
        <v>22</v>
      </c>
    </row>
    <row r="6" spans="1:13" ht="43.5" x14ac:dyDescent="0.35">
      <c r="A6" s="7" t="s">
        <v>23</v>
      </c>
      <c r="B6" s="5" t="s">
        <v>24</v>
      </c>
      <c r="C6" s="5" t="s">
        <v>17</v>
      </c>
      <c r="D6" s="5" t="s">
        <v>25</v>
      </c>
      <c r="E6" s="5" t="s">
        <v>26</v>
      </c>
      <c r="F6" s="6">
        <v>3</v>
      </c>
      <c r="G6" s="6">
        <v>4</v>
      </c>
      <c r="H6" s="6">
        <f>F6*G6</f>
        <v>12</v>
      </c>
      <c r="I6" s="6" t="str">
        <f>IF(H6&gt;=12,"Critique",IF(H6&gt;=8,"Élevé",IF(H6&gt;=4,"Moyen","Faible")))</f>
        <v>Critique</v>
      </c>
      <c r="J6" s="6">
        <f>COUNTIF($H$5:$H$14,"&gt;"&amp;H6)+COUNTIFS($H$5:$H$14,H6,$G$5:$G$14,"&gt;"&amp;G6)+COUNTIFS($H$5:H6,H6,$G$5:G6,G6)</f>
        <v>2</v>
      </c>
      <c r="K6" s="5" t="s">
        <v>20</v>
      </c>
      <c r="L6" s="5" t="s">
        <v>27</v>
      </c>
      <c r="M6" s="5" t="s">
        <v>22</v>
      </c>
    </row>
    <row r="7" spans="1:13" ht="29" x14ac:dyDescent="0.35">
      <c r="A7" s="7" t="s">
        <v>28</v>
      </c>
      <c r="B7" s="5" t="s">
        <v>29</v>
      </c>
      <c r="C7" s="5" t="s">
        <v>30</v>
      </c>
      <c r="D7" s="5" t="s">
        <v>31</v>
      </c>
      <c r="E7" s="5" t="s">
        <v>32</v>
      </c>
      <c r="F7" s="6">
        <v>4</v>
      </c>
      <c r="G7" s="6">
        <v>3</v>
      </c>
      <c r="H7" s="6">
        <f>F7*G7</f>
        <v>12</v>
      </c>
      <c r="I7" s="6" t="str">
        <f>IF(H7&gt;=12,"Critique",IF(H7&gt;=8,"Élevé",IF(H7&gt;=4,"Moyen","Faible")))</f>
        <v>Critique</v>
      </c>
      <c r="J7" s="6">
        <f>COUNTIF($H$5:$H$14,"&gt;"&amp;H7)+COUNTIFS($H$5:$H$14,H7,$G$5:$G$14,"&gt;"&amp;G7)+COUNTIFS($H$5:H7,H7,$G$5:G7,G7)</f>
        <v>3</v>
      </c>
      <c r="K7" s="5" t="s">
        <v>20</v>
      </c>
      <c r="L7" s="5" t="s">
        <v>33</v>
      </c>
      <c r="M7" s="5" t="s">
        <v>34</v>
      </c>
    </row>
    <row r="8" spans="1:13" ht="29" x14ac:dyDescent="0.35">
      <c r="A8" s="7" t="s">
        <v>35</v>
      </c>
      <c r="B8" s="5" t="s">
        <v>36</v>
      </c>
      <c r="C8" s="5" t="s">
        <v>37</v>
      </c>
      <c r="D8" s="5" t="s">
        <v>38</v>
      </c>
      <c r="E8" s="5" t="s">
        <v>39</v>
      </c>
      <c r="F8" s="6">
        <v>3</v>
      </c>
      <c r="G8" s="6">
        <v>3</v>
      </c>
      <c r="H8" s="6">
        <f>F8*G8</f>
        <v>9</v>
      </c>
      <c r="I8" s="6" t="str">
        <f>IF(H8&gt;=12,"Critique",IF(H8&gt;=8,"Élevé",IF(H8&gt;=4,"Moyen","Faible")))</f>
        <v>Élevé</v>
      </c>
      <c r="J8" s="6">
        <f>COUNTIF($H$5:$H$14,"&gt;"&amp;H8)+COUNTIFS($H$5:$H$14,H8,$G$5:$G$14,"&gt;"&amp;G8)+COUNTIFS($H$5:H8,H8,$G$5:G8,G8)</f>
        <v>5</v>
      </c>
      <c r="K8" s="5" t="s">
        <v>20</v>
      </c>
      <c r="L8" s="5" t="s">
        <v>40</v>
      </c>
      <c r="M8" s="5" t="s">
        <v>34</v>
      </c>
    </row>
    <row r="9" spans="1:13" ht="43.5" x14ac:dyDescent="0.35">
      <c r="A9" s="7" t="s">
        <v>41</v>
      </c>
      <c r="B9" s="5" t="s">
        <v>42</v>
      </c>
      <c r="C9" s="5" t="s">
        <v>17</v>
      </c>
      <c r="D9" s="5" t="s">
        <v>43</v>
      </c>
      <c r="E9" s="5" t="s">
        <v>44</v>
      </c>
      <c r="F9" s="6">
        <v>3</v>
      </c>
      <c r="G9" s="6">
        <v>3</v>
      </c>
      <c r="H9" s="6">
        <f>F9*G9</f>
        <v>9</v>
      </c>
      <c r="I9" s="6" t="str">
        <f>IF(H9&gt;=12,"Critique",IF(H9&gt;=8,"Élevé",IF(H9&gt;=4,"Moyen","Faible")))</f>
        <v>Élevé</v>
      </c>
      <c r="J9" s="6">
        <f>COUNTIF($H$5:$H$14,"&gt;"&amp;H9)+COUNTIFS($H$5:$H$14,H9,$G$5:$G$14,"&gt;"&amp;G9)+COUNTIFS($H$5:H9,H9,$G$5:G9,G9)</f>
        <v>6</v>
      </c>
      <c r="K9" s="5" t="s">
        <v>20</v>
      </c>
      <c r="L9" s="5" t="s">
        <v>45</v>
      </c>
      <c r="M9" s="5" t="s">
        <v>22</v>
      </c>
    </row>
    <row r="10" spans="1:13" ht="29" x14ac:dyDescent="0.35">
      <c r="A10" s="7" t="s">
        <v>46</v>
      </c>
      <c r="B10" s="5" t="s">
        <v>47</v>
      </c>
      <c r="C10" s="5" t="s">
        <v>17</v>
      </c>
      <c r="D10" s="5" t="s">
        <v>48</v>
      </c>
      <c r="E10" s="5" t="s">
        <v>49</v>
      </c>
      <c r="F10" s="6">
        <v>2</v>
      </c>
      <c r="G10" s="6">
        <v>5</v>
      </c>
      <c r="H10" s="6">
        <f>F10*G10</f>
        <v>10</v>
      </c>
      <c r="I10" s="6" t="str">
        <f>IF(H10&gt;=12,"Critique",IF(H10&gt;=8,"Élevé",IF(H10&gt;=4,"Moyen","Faible")))</f>
        <v>Élevé</v>
      </c>
      <c r="J10" s="6">
        <f>COUNTIF($H$5:$H$14,"&gt;"&amp;H10)+COUNTIFS($H$5:$H$14,H10,$G$5:$G$14,"&gt;"&amp;G10)+COUNTIFS($H$5:H10,H10,$G$5:G10,G10)</f>
        <v>4</v>
      </c>
      <c r="K10" s="5" t="s">
        <v>20</v>
      </c>
      <c r="L10" s="5" t="s">
        <v>50</v>
      </c>
      <c r="M10" s="5" t="s">
        <v>22</v>
      </c>
    </row>
    <row r="11" spans="1:13" ht="29" x14ac:dyDescent="0.35">
      <c r="A11" s="7" t="s">
        <v>51</v>
      </c>
      <c r="B11" s="5" t="s">
        <v>52</v>
      </c>
      <c r="C11" s="5" t="s">
        <v>30</v>
      </c>
      <c r="D11" s="5" t="s">
        <v>53</v>
      </c>
      <c r="E11" s="5" t="s">
        <v>54</v>
      </c>
      <c r="F11" s="6">
        <v>2</v>
      </c>
      <c r="G11" s="6">
        <v>3</v>
      </c>
      <c r="H11" s="6">
        <f>F11*G11</f>
        <v>6</v>
      </c>
      <c r="I11" s="6" t="str">
        <f>IF(H11&gt;=12,"Critique",IF(H11&gt;=8,"Élevé",IF(H11&gt;=4,"Moyen","Faible")))</f>
        <v>Moyen</v>
      </c>
      <c r="J11" s="6">
        <f>COUNTIF($H$5:$H$14,"&gt;"&amp;H11)+COUNTIFS($H$5:$H$14,H11,$G$5:$G$14,"&gt;"&amp;G11)+COUNTIFS($H$5:H11,H11,$G$5:G11,G11)</f>
        <v>9</v>
      </c>
      <c r="K11" s="5" t="s">
        <v>20</v>
      </c>
      <c r="L11" s="5" t="s">
        <v>55</v>
      </c>
      <c r="M11" s="5" t="s">
        <v>34</v>
      </c>
    </row>
    <row r="12" spans="1:13" ht="29" x14ac:dyDescent="0.35">
      <c r="A12" s="7" t="s">
        <v>56</v>
      </c>
      <c r="B12" s="5" t="s">
        <v>57</v>
      </c>
      <c r="C12" s="5" t="s">
        <v>17</v>
      </c>
      <c r="D12" s="5" t="s">
        <v>58</v>
      </c>
      <c r="E12" s="5" t="s">
        <v>59</v>
      </c>
      <c r="F12" s="6">
        <v>2</v>
      </c>
      <c r="G12" s="6">
        <v>4</v>
      </c>
      <c r="H12" s="6">
        <f>F12*G12</f>
        <v>8</v>
      </c>
      <c r="I12" s="6" t="str">
        <f>IF(H12&gt;=12,"Critique",IF(H12&gt;=8,"Élevé",IF(H12&gt;=4,"Moyen","Faible")))</f>
        <v>Élevé</v>
      </c>
      <c r="J12" s="6">
        <f>COUNTIF($H$5:$H$14,"&gt;"&amp;H12)+COUNTIFS($H$5:$H$14,H12,$G$5:$G$14,"&gt;"&amp;G12)+COUNTIFS($H$5:H12,H12,$G$5:G12,G12)</f>
        <v>7</v>
      </c>
      <c r="K12" s="5" t="s">
        <v>20</v>
      </c>
      <c r="L12" s="5" t="s">
        <v>60</v>
      </c>
      <c r="M12" s="5" t="s">
        <v>22</v>
      </c>
    </row>
    <row r="13" spans="1:13" ht="29" x14ac:dyDescent="0.35">
      <c r="A13" s="7" t="s">
        <v>61</v>
      </c>
      <c r="B13" s="5" t="s">
        <v>62</v>
      </c>
      <c r="C13" s="5" t="s">
        <v>37</v>
      </c>
      <c r="D13" s="5" t="s">
        <v>63</v>
      </c>
      <c r="E13" s="5" t="s">
        <v>64</v>
      </c>
      <c r="F13" s="6">
        <v>2</v>
      </c>
      <c r="G13" s="6">
        <v>4</v>
      </c>
      <c r="H13" s="6">
        <f>F13*G13</f>
        <v>8</v>
      </c>
      <c r="I13" s="6" t="str">
        <f>IF(H13&gt;=12,"Critique",IF(H13&gt;=8,"Élevé",IF(H13&gt;=4,"Moyen","Faible")))</f>
        <v>Élevé</v>
      </c>
      <c r="J13" s="6">
        <f>COUNTIF($H$5:$H$14,"&gt;"&amp;H13)+COUNTIFS($H$5:$H$14,H13,$G$5:$G$14,"&gt;"&amp;G13)+COUNTIFS($H$5:H13,H13,$G$5:G13,G13)</f>
        <v>8</v>
      </c>
      <c r="K13" s="5" t="s">
        <v>65</v>
      </c>
      <c r="L13" s="5" t="s">
        <v>66</v>
      </c>
      <c r="M13" s="5" t="s">
        <v>67</v>
      </c>
    </row>
    <row r="14" spans="1:13" ht="29" x14ac:dyDescent="0.35">
      <c r="A14" s="7" t="s">
        <v>68</v>
      </c>
      <c r="B14" s="5" t="s">
        <v>69</v>
      </c>
      <c r="C14" s="5" t="s">
        <v>17</v>
      </c>
      <c r="D14" s="5" t="s">
        <v>70</v>
      </c>
      <c r="E14" s="5" t="s">
        <v>71</v>
      </c>
      <c r="F14" s="6">
        <v>3</v>
      </c>
      <c r="G14" s="6">
        <v>2</v>
      </c>
      <c r="H14" s="6">
        <f>F14*G14</f>
        <v>6</v>
      </c>
      <c r="I14" s="6" t="str">
        <f>IF(H14&gt;=12,"Critique",IF(H14&gt;=8,"Élevé",IF(H14&gt;=4,"Moyen","Faible")))</f>
        <v>Moyen</v>
      </c>
      <c r="J14" s="6">
        <f>COUNTIF($H$5:$H$14,"&gt;"&amp;H14)+COUNTIFS($H$5:$H$14,H14,$G$5:$G$14,"&gt;"&amp;G14)+COUNTIFS($H$5:H14,H14,$G$5:G14,G14)</f>
        <v>10</v>
      </c>
      <c r="K14" s="5" t="s">
        <v>72</v>
      </c>
      <c r="L14" s="5" t="s">
        <v>73</v>
      </c>
      <c r="M14" s="5" t="s">
        <v>22</v>
      </c>
    </row>
    <row r="16" spans="1:13" x14ac:dyDescent="0.35">
      <c r="A16" s="8" t="s">
        <v>74</v>
      </c>
    </row>
  </sheetData>
  <conditionalFormatting sqref="H5:I14">
    <cfRule type="expression" dxfId="3" priority="1" stopIfTrue="1">
      <formula>$H5&gt;=12</formula>
    </cfRule>
    <cfRule type="expression" dxfId="2" priority="2" stopIfTrue="1">
      <formula>($H5&gt;=8)*($H5&lt;12)</formula>
    </cfRule>
    <cfRule type="expression" dxfId="1" priority="3" stopIfTrue="1">
      <formula>($H5&gt;=4)*($H5&lt;8)</formula>
    </cfRule>
    <cfRule type="expression" dxfId="0" priority="4" stopIfTrue="1">
      <formula>$H5&lt;4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6E008-7BAF-43FB-B5B9-8701030DE7F7}">
  <dimension ref="A1:K13"/>
  <sheetViews>
    <sheetView zoomScaleNormal="100" workbookViewId="0"/>
  </sheetViews>
  <sheetFormatPr baseColWidth="10" defaultRowHeight="14.5" x14ac:dyDescent="0.35"/>
  <cols>
    <col min="1" max="1" width="2.6328125" customWidth="1"/>
    <col min="2" max="2" width="4.6328125" customWidth="1"/>
    <col min="3" max="3" width="16.6328125" customWidth="1"/>
    <col min="4" max="8" width="15.6328125" customWidth="1"/>
    <col min="10" max="10" width="4.6328125" customWidth="1"/>
    <col min="11" max="11" width="16.6328125" customWidth="1"/>
  </cols>
  <sheetData>
    <row r="1" spans="1:11" ht="18.5" x14ac:dyDescent="0.45">
      <c r="A1" s="1" t="s">
        <v>75</v>
      </c>
    </row>
    <row r="2" spans="1:11" x14ac:dyDescent="0.35">
      <c r="A2" t="s">
        <v>1</v>
      </c>
    </row>
    <row r="3" spans="1:11" ht="15" thickBot="1" x14ac:dyDescent="0.4"/>
    <row r="4" spans="1:11" ht="55" customHeight="1" thickTop="1" thickBot="1" x14ac:dyDescent="0.4">
      <c r="B4" s="10" t="s">
        <v>76</v>
      </c>
      <c r="C4" s="18" t="s">
        <v>78</v>
      </c>
      <c r="D4" s="13" t="str" cm="1">
        <f t="array" ref="D4">_xlfn.TEXTJOIN(" ",TRUE,IF(('Registre des risques'!$F$5:$F$14=5)*('Registre des risques'!$G$5:$G$14=1),'Registre des risques'!$A$5:$A$14,""))</f>
        <v/>
      </c>
      <c r="E4" s="14" t="str" cm="1">
        <f t="array" ref="E4">_xlfn.TEXTJOIN(" ",TRUE,IF(('Registre des risques'!$F$5:$F$14=5)*('Registre des risques'!$G$5:$G$14=2),'Registre des risques'!$A$5:$A$14,""))</f>
        <v/>
      </c>
      <c r="F4" s="15" t="str" cm="1">
        <f t="array" ref="F4">_xlfn.TEXTJOIN(" ",TRUE,IF(('Registre des risques'!$F$5:$F$14=5)*('Registre des risques'!$G$5:$G$14=3),'Registre des risques'!$A$5:$A$14,""))</f>
        <v/>
      </c>
      <c r="G4" s="15" t="str" cm="1">
        <f t="array" ref="G4">_xlfn.TEXTJOIN(" ",TRUE,IF(('Registre des risques'!$F$5:$F$14=5)*('Registre des risques'!$G$5:$G$14=4),'Registre des risques'!$A$5:$A$14,""))</f>
        <v/>
      </c>
      <c r="H4" s="15" t="str" cm="1">
        <f t="array" ref="H4">_xlfn.TEXTJOIN(" ",TRUE,IF(('Registre des risques'!$F$5:$F$14=5)*('Registre des risques'!$G$5:$G$14=5),'Registre des risques'!$A$5:$A$14,""))</f>
        <v/>
      </c>
      <c r="J4" s="2" t="s">
        <v>88</v>
      </c>
    </row>
    <row r="5" spans="1:11" ht="55" customHeight="1" thickTop="1" thickBot="1" x14ac:dyDescent="0.4">
      <c r="B5" s="9"/>
      <c r="C5" s="18" t="s">
        <v>79</v>
      </c>
      <c r="D5" s="13" t="str" cm="1">
        <f t="array" ref="D5">_xlfn.TEXTJOIN(" ",TRUE,IF(('Registre des risques'!$F$5:$F$14=4)*('Registre des risques'!$G$5:$G$14=1),'Registre des risques'!$A$5:$A$14,""))</f>
        <v/>
      </c>
      <c r="E5" s="14" t="str" cm="1">
        <f t="array" ref="E5">_xlfn.TEXTJOIN(" ",TRUE,IF(('Registre des risques'!$F$5:$F$14=4)*('Registre des risques'!$G$5:$G$14=2),'Registre des risques'!$A$5:$A$14,""))</f>
        <v/>
      </c>
      <c r="F5" s="15" t="str" cm="1">
        <f t="array" ref="F5">_xlfn.TEXTJOIN(" ",TRUE,IF(('Registre des risques'!$F$5:$F$14=4)*('Registre des risques'!$G$5:$G$14=3),'Registre des risques'!$A$5:$A$14,""))</f>
        <v>R3</v>
      </c>
      <c r="G5" s="15" t="str" cm="1">
        <f t="array" ref="G5">_xlfn.TEXTJOIN(" ",TRUE,IF(('Registre des risques'!$F$5:$F$14=4)*('Registre des risques'!$G$5:$G$14=4),'Registre des risques'!$A$5:$A$14,""))</f>
        <v/>
      </c>
      <c r="H5" s="15" t="str" cm="1">
        <f t="array" ref="H5">_xlfn.TEXTJOIN(" ",TRUE,IF(('Registre des risques'!$F$5:$F$14=4)*('Registre des risques'!$G$5:$G$14=5),'Registre des risques'!$A$5:$A$14,""))</f>
        <v/>
      </c>
      <c r="J5" s="21"/>
      <c r="K5" s="22" t="s">
        <v>89</v>
      </c>
    </row>
    <row r="6" spans="1:11" ht="55" customHeight="1" thickTop="1" thickBot="1" x14ac:dyDescent="0.4">
      <c r="B6" s="9"/>
      <c r="C6" s="18" t="s">
        <v>80</v>
      </c>
      <c r="D6" s="16" t="str" cm="1">
        <f t="array" ref="D6">_xlfn.TEXTJOIN(" ",TRUE,IF(('Registre des risques'!$F$5:$F$14=3)*('Registre des risques'!$G$5:$G$14=1),'Registre des risques'!$A$5:$A$14,""))</f>
        <v/>
      </c>
      <c r="E6" s="13" t="str" cm="1">
        <f t="array" ref="E6">_xlfn.TEXTJOIN(" ",TRUE,IF(('Registre des risques'!$F$5:$F$14=3)*('Registre des risques'!$G$5:$G$14=2),'Registre des risques'!$A$5:$A$14,""))</f>
        <v>R10</v>
      </c>
      <c r="F6" s="14" t="str" cm="1">
        <f t="array" ref="F6">_xlfn.TEXTJOIN(" ",TRUE,IF(('Registre des risques'!$F$5:$F$14=3)*('Registre des risques'!$G$5:$G$14=3),'Registre des risques'!$A$5:$A$14,""))</f>
        <v>R4 R5</v>
      </c>
      <c r="G6" s="15" t="str" cm="1">
        <f t="array" ref="G6">_xlfn.TEXTJOIN(" ",TRUE,IF(('Registre des risques'!$F$5:$F$14=3)*('Registre des risques'!$G$5:$G$14=4),'Registre des risques'!$A$5:$A$14,""))</f>
        <v>R2</v>
      </c>
      <c r="H6" s="15" t="str" cm="1">
        <f t="array" ref="H6">_xlfn.TEXTJOIN(" ",TRUE,IF(('Registre des risques'!$F$5:$F$14=3)*('Registre des risques'!$G$5:$G$14=5),'Registre des risques'!$A$5:$A$14,""))</f>
        <v>R1</v>
      </c>
      <c r="J6" s="23"/>
      <c r="K6" s="22" t="s">
        <v>90</v>
      </c>
    </row>
    <row r="7" spans="1:11" ht="55" customHeight="1" thickTop="1" thickBot="1" x14ac:dyDescent="0.4">
      <c r="B7" s="9"/>
      <c r="C7" s="18" t="s">
        <v>81</v>
      </c>
      <c r="D7" s="16" t="str" cm="1">
        <f t="array" ref="D7">_xlfn.TEXTJOIN(" ",TRUE,IF(('Registre des risques'!$F$5:$F$14=2)*('Registre des risques'!$G$5:$G$14=1),'Registre des risques'!$A$5:$A$14,""))</f>
        <v/>
      </c>
      <c r="E7" s="13" t="str" cm="1">
        <f t="array" ref="E7">_xlfn.TEXTJOIN(" ",TRUE,IF(('Registre des risques'!$F$5:$F$14=2)*('Registre des risques'!$G$5:$G$14=2),'Registre des risques'!$A$5:$A$14,""))</f>
        <v/>
      </c>
      <c r="F7" s="13" t="str" cm="1">
        <f t="array" ref="F7">_xlfn.TEXTJOIN(" ",TRUE,IF(('Registre des risques'!$F$5:$F$14=2)*('Registre des risques'!$G$5:$G$14=3),'Registre des risques'!$A$5:$A$14,""))</f>
        <v>R7</v>
      </c>
      <c r="G7" s="14" t="str" cm="1">
        <f t="array" ref="G7">_xlfn.TEXTJOIN(" ",TRUE,IF(('Registre des risques'!$F$5:$F$14=2)*('Registre des risques'!$G$5:$G$14=4),'Registre des risques'!$A$5:$A$14,""))</f>
        <v>R8 R9</v>
      </c>
      <c r="H7" s="14" t="str" cm="1">
        <f t="array" ref="H7">_xlfn.TEXTJOIN(" ",TRUE,IF(('Registre des risques'!$F$5:$F$14=2)*('Registre des risques'!$G$5:$G$14=5),'Registre des risques'!$A$5:$A$14,""))</f>
        <v>R6</v>
      </c>
      <c r="J7" s="24"/>
      <c r="K7" s="22" t="s">
        <v>91</v>
      </c>
    </row>
    <row r="8" spans="1:11" ht="55" customHeight="1" thickTop="1" thickBot="1" x14ac:dyDescent="0.4">
      <c r="B8" s="9"/>
      <c r="C8" s="18" t="s">
        <v>82</v>
      </c>
      <c r="D8" s="16" t="str" cm="1">
        <f t="array" ref="D8">_xlfn.TEXTJOIN(" ",TRUE,IF(('Registre des risques'!$F$5:$F$14=1)*('Registre des risques'!$G$5:$G$14=1),'Registre des risques'!$A$5:$A$14,""))</f>
        <v/>
      </c>
      <c r="E8" s="16" t="str" cm="1">
        <f t="array" ref="E8">_xlfn.TEXTJOIN(" ",TRUE,IF(('Registre des risques'!$F$5:$F$14=1)*('Registre des risques'!$G$5:$G$14=2),'Registre des risques'!$A$5:$A$14,""))</f>
        <v/>
      </c>
      <c r="F8" s="16" t="str" cm="1">
        <f t="array" ref="F8">_xlfn.TEXTJOIN(" ",TRUE,IF(('Registre des risques'!$F$5:$F$14=1)*('Registre des risques'!$G$5:$G$14=3),'Registre des risques'!$A$5:$A$14,""))</f>
        <v/>
      </c>
      <c r="G8" s="13" t="str" cm="1">
        <f t="array" ref="G8">_xlfn.TEXTJOIN(" ",TRUE,IF(('Registre des risques'!$F$5:$F$14=1)*('Registre des risques'!$G$5:$G$14=4),'Registre des risques'!$A$5:$A$14,""))</f>
        <v/>
      </c>
      <c r="H8" s="13" t="str" cm="1">
        <f t="array" ref="H8">_xlfn.TEXTJOIN(" ",TRUE,IF(('Registre des risques'!$F$5:$F$14=1)*('Registre des risques'!$G$5:$G$14=5),'Registre des risques'!$A$5:$A$14,""))</f>
        <v/>
      </c>
      <c r="J8" s="25"/>
      <c r="K8" s="22" t="s">
        <v>92</v>
      </c>
    </row>
    <row r="9" spans="1:11" ht="15" thickTop="1" x14ac:dyDescent="0.35">
      <c r="B9" s="9"/>
    </row>
    <row r="10" spans="1:11" x14ac:dyDescent="0.35">
      <c r="D10" s="17" t="s">
        <v>83</v>
      </c>
      <c r="E10" s="17" t="s">
        <v>84</v>
      </c>
      <c r="F10" s="17" t="s">
        <v>85</v>
      </c>
      <c r="G10" s="17" t="s">
        <v>86</v>
      </c>
      <c r="H10" s="17" t="s">
        <v>87</v>
      </c>
    </row>
    <row r="11" spans="1:11" x14ac:dyDescent="0.35">
      <c r="D11" s="12" t="s">
        <v>77</v>
      </c>
      <c r="E11" s="11"/>
      <c r="F11" s="11"/>
      <c r="G11" s="11"/>
      <c r="H11" s="11"/>
    </row>
    <row r="13" spans="1:11" x14ac:dyDescent="0.35">
      <c r="C13" s="8" t="s">
        <v>93</v>
      </c>
    </row>
  </sheetData>
  <mergeCells count="2">
    <mergeCell ref="B4:B9"/>
    <mergeCell ref="D11:H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D88A2-F6F9-457D-BE87-90DC5C9DAF09}">
  <dimension ref="A1:C8"/>
  <sheetViews>
    <sheetView workbookViewId="0"/>
  </sheetViews>
  <sheetFormatPr baseColWidth="10" defaultRowHeight="14.5" x14ac:dyDescent="0.35"/>
  <cols>
    <col min="1" max="1" width="6.6328125" customWidth="1"/>
    <col min="2" max="2" width="34.6328125" customWidth="1"/>
    <col min="3" max="3" width="70.6328125" customWidth="1"/>
  </cols>
  <sheetData>
    <row r="1" spans="1:3" ht="18.5" x14ac:dyDescent="0.45">
      <c r="A1" s="1" t="s">
        <v>94</v>
      </c>
    </row>
    <row r="3" spans="1:3" x14ac:dyDescent="0.35">
      <c r="A3" s="19" t="s">
        <v>95</v>
      </c>
      <c r="B3" s="19" t="s">
        <v>76</v>
      </c>
      <c r="C3" s="19" t="s">
        <v>77</v>
      </c>
    </row>
    <row r="4" spans="1:3" x14ac:dyDescent="0.35">
      <c r="A4" s="20">
        <v>1</v>
      </c>
      <c r="B4" s="4" t="s">
        <v>96</v>
      </c>
      <c r="C4" s="4" t="s">
        <v>97</v>
      </c>
    </row>
    <row r="5" spans="1:3" x14ac:dyDescent="0.35">
      <c r="A5" s="20">
        <v>2</v>
      </c>
      <c r="B5" s="4" t="s">
        <v>98</v>
      </c>
      <c r="C5" s="4" t="s">
        <v>99</v>
      </c>
    </row>
    <row r="6" spans="1:3" x14ac:dyDescent="0.35">
      <c r="A6" s="20">
        <v>3</v>
      </c>
      <c r="B6" s="4" t="s">
        <v>100</v>
      </c>
      <c r="C6" s="4" t="s">
        <v>101</v>
      </c>
    </row>
    <row r="7" spans="1:3" x14ac:dyDescent="0.35">
      <c r="A7" s="20">
        <v>4</v>
      </c>
      <c r="B7" s="4" t="s">
        <v>102</v>
      </c>
      <c r="C7" s="4" t="s">
        <v>103</v>
      </c>
    </row>
    <row r="8" spans="1:3" x14ac:dyDescent="0.35">
      <c r="A8" s="20">
        <v>5</v>
      </c>
      <c r="B8" s="4" t="s">
        <v>104</v>
      </c>
      <c r="C8" s="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Registre des risques</vt:lpstr>
      <vt:lpstr>Matrice P-I</vt:lpstr>
      <vt:lpstr>Échelles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Nunes</dc:creator>
  <cp:lastModifiedBy>Alessandro Nunes</cp:lastModifiedBy>
  <dcterms:created xsi:type="dcterms:W3CDTF">2026-10-14T09:01:21Z</dcterms:created>
  <dcterms:modified xsi:type="dcterms:W3CDTF">2026-10-14T09:01:31Z</dcterms:modified>
</cp:coreProperties>
</file>