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758c4b754eab/Bureau/E3-Gestion-de-projets-PPE/01-techniques-de-gestion-de-projets/rendu-de-sousa-nunes-alessandro/projet-4-sprint-scrum/"/>
    </mc:Choice>
  </mc:AlternateContent>
  <xr:revisionPtr revIDLastSave="0" documentId="8_{9EB309F0-C7CB-48DF-BFFF-C8E18DE06A2C}" xr6:coauthVersionLast="47" xr6:coauthVersionMax="47" xr10:uidLastSave="{00000000-0000-0000-0000-000000000000}"/>
  <bookViews>
    <workbookView xWindow="-110" yWindow="-110" windowWidth="25820" windowHeight="15500" xr2:uid="{3846AD4C-4047-45C0-9A81-9D384A9F1E32}"/>
  </bookViews>
  <sheets>
    <sheet name="Product Backlog" sheetId="1" r:id="rId1"/>
    <sheet name="Burn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2" l="1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C5" i="2"/>
  <c r="B5" i="2"/>
  <c r="E18" i="1"/>
  <c r="E17" i="1"/>
  <c r="E16" i="1"/>
</calcChain>
</file>

<file path=xl/sharedStrings.xml><?xml version="1.0" encoding="utf-8"?>
<sst xmlns="http://schemas.openxmlformats.org/spreadsheetml/2006/main" count="96" uniqueCount="67">
  <si>
    <t>Product Backlog - Rappels d'échéance (application de gestion des tâches)</t>
  </si>
  <si>
    <t>De Sousa Nunes Alessandro - CFC 3</t>
  </si>
  <si>
    <t>Prio.</t>
  </si>
  <si>
    <t>ID</t>
  </si>
  <si>
    <t>En tant que...</t>
  </si>
  <si>
    <t>je veux...</t>
  </si>
  <si>
    <t>afin de...</t>
  </si>
  <si>
    <t>MoSCoW</t>
  </si>
  <si>
    <t>Points</t>
  </si>
  <si>
    <t>Sprint</t>
  </si>
  <si>
    <t>Statut fin de sprint</t>
  </si>
  <si>
    <t>Terminée le jour</t>
  </si>
  <si>
    <t>US-01</t>
  </si>
  <si>
    <t>utilisateur</t>
  </si>
  <si>
    <t>définir une date d'échéance sur une tâche</t>
  </si>
  <si>
    <t>savoir quand elle doit être terminée</t>
  </si>
  <si>
    <t>Must</t>
  </si>
  <si>
    <t>Sprint 1</t>
  </si>
  <si>
    <t>Terminée</t>
  </si>
  <si>
    <t>US-02</t>
  </si>
  <si>
    <t>voir la liste de mes tâches qui arrivent à échéance dans les 7 jours</t>
  </si>
  <si>
    <t>organiser ma semaine</t>
  </si>
  <si>
    <t>US-03</t>
  </si>
  <si>
    <t>recevoir une notification dans l'application la veille de l'échéance</t>
  </si>
  <si>
    <t>ne pas oublier une tâche</t>
  </si>
  <si>
    <t>US-04</t>
  </si>
  <si>
    <t>recevoir un e-mail de rappel la veille de l'échéance</t>
  </si>
  <si>
    <t>être prévenu même si l'application est fermée</t>
  </si>
  <si>
    <t>US-05</t>
  </si>
  <si>
    <t>voir les tâches en retard en rouge</t>
  </si>
  <si>
    <t>repérer tout de suite ce qui est urgent</t>
  </si>
  <si>
    <t>Should</t>
  </si>
  <si>
    <t>US-06</t>
  </si>
  <si>
    <t>choisir comment je reçois les rappels (application, e-mail ou les deux)</t>
  </si>
  <si>
    <t>ne pas être dérangé inutilement</t>
  </si>
  <si>
    <t>US-07</t>
  </si>
  <si>
    <t>marquer une notification comme lue</t>
  </si>
  <si>
    <t>garder une liste de notifications claire</t>
  </si>
  <si>
    <t>US-08</t>
  </si>
  <si>
    <t>désactiver les rappels pour une tâche précise</t>
  </si>
  <si>
    <t>éviter les rappels sur les tâches sans importance</t>
  </si>
  <si>
    <t>Could</t>
  </si>
  <si>
    <t>Non terminée</t>
  </si>
  <si>
    <t>US-09</t>
  </si>
  <si>
    <t>chef d'équipe</t>
  </si>
  <si>
    <t>que les tâches en retard soient rappelées chaque jour</t>
  </si>
  <si>
    <t>que les retards soient traités rapidement</t>
  </si>
  <si>
    <t>Backlog</t>
  </si>
  <si>
    <t>US-10</t>
  </si>
  <si>
    <t>administrateur</t>
  </si>
  <si>
    <t>voir le nombre de rappels envoyés par semaine</t>
  </si>
  <si>
    <t>vérifier que la fonction est utilisée</t>
  </si>
  <si>
    <t>Points engagés dans le sprint :</t>
  </si>
  <si>
    <t>Points livrés (terminés) :</t>
  </si>
  <si>
    <t>Points restant dans le backlog :</t>
  </si>
  <si>
    <t>Burndown chart - Sprint 1 (5 jours)</t>
  </si>
  <si>
    <t>Jour</t>
  </si>
  <si>
    <t>Idéal</t>
  </si>
  <si>
    <t>Reste à faire</t>
  </si>
  <si>
    <t>Points terminés ce jour</t>
  </si>
  <si>
    <t>Début</t>
  </si>
  <si>
    <t>Jour 1</t>
  </si>
  <si>
    <t>Jour 2</t>
  </si>
  <si>
    <t>Jour 3</t>
  </si>
  <si>
    <t>Jour 4</t>
  </si>
  <si>
    <t>Jour 5</t>
  </si>
  <si>
    <t>Le reste à faire est calculé à partir de la colonne « Terminée le jour » du Product Backlog (suivi simulé du sprint).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</si>
</sst>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2">
    <dxf>
      <font>
        <b/>
        <i val="0"/>
        <color rgb="FFC0392B"/>
      </font>
    </dxf>
    <dxf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du sprint 1 (points restants)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Burndown!$B$4</c:f>
              <c:strCache>
                <c:ptCount val="1"/>
                <c:pt idx="0">
                  <c:v>Idéal</c:v>
                </c:pt>
              </c:strCache>
            </c:strRef>
          </c:tx>
          <c:spPr>
            <a:ln>
              <a:solidFill>
                <a:srgbClr val="A6A6A6"/>
              </a:solidFill>
              <a:prstDash val="dash"/>
            </a:ln>
          </c:spPr>
          <c:marker>
            <c:symbol val="none"/>
          </c:marker>
          <c:cat>
            <c:strRef>
              <c:f>Burndown!$A$5:$A$10</c:f>
              <c:strCache>
                <c:ptCount val="6"/>
                <c:pt idx="0">
                  <c:v>Début</c:v>
                </c:pt>
                <c:pt idx="1">
                  <c:v>Jour 1</c:v>
                </c:pt>
                <c:pt idx="2">
                  <c:v>Jour 2</c:v>
                </c:pt>
                <c:pt idx="3">
                  <c:v>Jour 3</c:v>
                </c:pt>
                <c:pt idx="4">
                  <c:v>Jour 4</c:v>
                </c:pt>
                <c:pt idx="5">
                  <c:v>Jour 5</c:v>
                </c:pt>
              </c:strCache>
            </c:strRef>
          </c:cat>
          <c:val>
            <c:numRef>
              <c:f>Burndown!$B$5:$B$10</c:f>
              <c:numCache>
                <c:formatCode>General</c:formatCode>
                <c:ptCount val="6"/>
                <c:pt idx="0">
                  <c:v>25</c:v>
                </c:pt>
                <c:pt idx="1">
                  <c:v>20</c:v>
                </c:pt>
                <c:pt idx="2">
                  <c:v>15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A-45C0-9C32-443F2D203886}"/>
            </c:ext>
          </c:extLst>
        </c:ser>
        <c:ser>
          <c:idx val="1"/>
          <c:order val="1"/>
          <c:tx>
            <c:strRef>
              <c:f>Burndown!$C$4</c:f>
              <c:strCache>
                <c:ptCount val="1"/>
                <c:pt idx="0">
                  <c:v>Reste à faire</c:v>
                </c:pt>
              </c:strCache>
            </c:strRef>
          </c:tx>
          <c:spPr>
            <a:ln w="38100">
              <a:solidFill>
                <a:srgbClr val="C0392B"/>
              </a:solidFill>
            </a:ln>
          </c:spPr>
          <c:marker>
            <c:symbol val="circle"/>
            <c:size val="7"/>
            <c:spPr>
              <a:solidFill>
                <a:srgbClr val="C0392B"/>
              </a:solidFill>
              <a:ln w="38100">
                <a:solidFill>
                  <a:srgbClr val="C0392B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Burndown!$A$5:$A$10</c:f>
              <c:strCache>
                <c:ptCount val="6"/>
                <c:pt idx="0">
                  <c:v>Début</c:v>
                </c:pt>
                <c:pt idx="1">
                  <c:v>Jour 1</c:v>
                </c:pt>
                <c:pt idx="2">
                  <c:v>Jour 2</c:v>
                </c:pt>
                <c:pt idx="3">
                  <c:v>Jour 3</c:v>
                </c:pt>
                <c:pt idx="4">
                  <c:v>Jour 4</c:v>
                </c:pt>
                <c:pt idx="5">
                  <c:v>Jour 5</c:v>
                </c:pt>
              </c:strCache>
            </c:strRef>
          </c:cat>
          <c:val>
            <c:numRef>
              <c:f>Burndown!$C$5:$C$10</c:f>
              <c:numCache>
                <c:formatCode>General</c:formatCode>
                <c:ptCount val="6"/>
                <c:pt idx="0">
                  <c:v>25</c:v>
                </c:pt>
                <c:pt idx="1">
                  <c:v>23</c:v>
                </c:pt>
                <c:pt idx="2">
                  <c:v>20</c:v>
                </c:pt>
                <c:pt idx="3">
                  <c:v>15</c:v>
                </c:pt>
                <c:pt idx="4">
                  <c:v>7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A-45C0-9C32-443F2D203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469056"/>
        <c:axId val="1925433391"/>
      </c:lineChart>
      <c:catAx>
        <c:axId val="112469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25433391"/>
        <c:crosses val="autoZero"/>
        <c:auto val="1"/>
        <c:lblAlgn val="ctr"/>
        <c:lblOffset val="100"/>
        <c:noMultiLvlLbl val="0"/>
      </c:catAx>
      <c:valAx>
        <c:axId val="192543339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Points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246905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2</xdr:row>
      <xdr:rowOff>88900</xdr:rowOff>
    </xdr:from>
    <xdr:to>
      <xdr:col>14</xdr:col>
      <xdr:colOff>285750</xdr:colOff>
      <xdr:row>25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FA5FDAD-9A81-7CB3-8C3D-8A0F9126C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9906-F47D-4DCB-B9EA-4349E43123E0}">
  <dimension ref="A1:J18"/>
  <sheetViews>
    <sheetView tabSelected="1" zoomScale="90" zoomScaleNormal="90" workbookViewId="0"/>
  </sheetViews>
  <sheetFormatPr baseColWidth="10" defaultRowHeight="14.5" x14ac:dyDescent="0.35"/>
  <cols>
    <col min="1" max="1" width="6.6328125" customWidth="1"/>
    <col min="2" max="2" width="8.6328125" customWidth="1"/>
    <col min="3" max="3" width="15.6328125" customWidth="1"/>
    <col min="4" max="4" width="46.6328125" customWidth="1"/>
    <col min="5" max="5" width="36.6328125" customWidth="1"/>
    <col min="6" max="6" width="9.6328125" customWidth="1"/>
    <col min="7" max="7" width="8.6328125" customWidth="1"/>
    <col min="8" max="8" width="10.6328125" customWidth="1"/>
    <col min="9" max="9" width="14.6328125" customWidth="1"/>
    <col min="10" max="10" width="11.6328125" customWidth="1"/>
  </cols>
  <sheetData>
    <row r="1" spans="1:10" ht="18.5" x14ac:dyDescent="0.45">
      <c r="A1" s="1" t="s">
        <v>0</v>
      </c>
    </row>
    <row r="2" spans="1:10" x14ac:dyDescent="0.35">
      <c r="A2" t="s">
        <v>1</v>
      </c>
    </row>
    <row r="4" spans="1:10" ht="29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5">
      <c r="A5" s="6">
        <v>1</v>
      </c>
      <c r="B5" s="6" t="s">
        <v>12</v>
      </c>
      <c r="C5" s="5" t="s">
        <v>13</v>
      </c>
      <c r="D5" s="5" t="s">
        <v>14</v>
      </c>
      <c r="E5" s="5" t="s">
        <v>15</v>
      </c>
      <c r="F5" s="6" t="s">
        <v>16</v>
      </c>
      <c r="G5" s="6">
        <v>3</v>
      </c>
      <c r="H5" s="6" t="s">
        <v>17</v>
      </c>
      <c r="I5" s="6" t="s">
        <v>18</v>
      </c>
      <c r="J5" s="6">
        <v>2</v>
      </c>
    </row>
    <row r="6" spans="1:10" ht="29" x14ac:dyDescent="0.35">
      <c r="A6" s="6">
        <v>2</v>
      </c>
      <c r="B6" s="6" t="s">
        <v>19</v>
      </c>
      <c r="C6" s="5" t="s">
        <v>13</v>
      </c>
      <c r="D6" s="5" t="s">
        <v>20</v>
      </c>
      <c r="E6" s="5" t="s">
        <v>21</v>
      </c>
      <c r="F6" s="6" t="s">
        <v>16</v>
      </c>
      <c r="G6" s="6">
        <v>3</v>
      </c>
      <c r="H6" s="6" t="s">
        <v>17</v>
      </c>
      <c r="I6" s="6" t="s">
        <v>18</v>
      </c>
      <c r="J6" s="6">
        <v>3</v>
      </c>
    </row>
    <row r="7" spans="1:10" ht="29" x14ac:dyDescent="0.35">
      <c r="A7" s="6">
        <v>3</v>
      </c>
      <c r="B7" s="6" t="s">
        <v>22</v>
      </c>
      <c r="C7" s="5" t="s">
        <v>13</v>
      </c>
      <c r="D7" s="5" t="s">
        <v>23</v>
      </c>
      <c r="E7" s="5" t="s">
        <v>24</v>
      </c>
      <c r="F7" s="6" t="s">
        <v>16</v>
      </c>
      <c r="G7" s="6">
        <v>5</v>
      </c>
      <c r="H7" s="6" t="s">
        <v>17</v>
      </c>
      <c r="I7" s="6" t="s">
        <v>18</v>
      </c>
      <c r="J7" s="6">
        <v>4</v>
      </c>
    </row>
    <row r="8" spans="1:10" ht="29" x14ac:dyDescent="0.35">
      <c r="A8" s="6">
        <v>4</v>
      </c>
      <c r="B8" s="6" t="s">
        <v>25</v>
      </c>
      <c r="C8" s="5" t="s">
        <v>13</v>
      </c>
      <c r="D8" s="5" t="s">
        <v>26</v>
      </c>
      <c r="E8" s="5" t="s">
        <v>27</v>
      </c>
      <c r="F8" s="6" t="s">
        <v>16</v>
      </c>
      <c r="G8" s="6">
        <v>5</v>
      </c>
      <c r="H8" s="6" t="s">
        <v>17</v>
      </c>
      <c r="I8" s="6" t="s">
        <v>18</v>
      </c>
      <c r="J8" s="6">
        <v>5</v>
      </c>
    </row>
    <row r="9" spans="1:10" x14ac:dyDescent="0.35">
      <c r="A9" s="6">
        <v>5</v>
      </c>
      <c r="B9" s="6" t="s">
        <v>28</v>
      </c>
      <c r="C9" s="5" t="s">
        <v>13</v>
      </c>
      <c r="D9" s="5" t="s">
        <v>29</v>
      </c>
      <c r="E9" s="5" t="s">
        <v>30</v>
      </c>
      <c r="F9" s="6" t="s">
        <v>31</v>
      </c>
      <c r="G9" s="6">
        <v>2</v>
      </c>
      <c r="H9" s="6" t="s">
        <v>17</v>
      </c>
      <c r="I9" s="6" t="s">
        <v>18</v>
      </c>
      <c r="J9" s="6">
        <v>1</v>
      </c>
    </row>
    <row r="10" spans="1:10" ht="29" x14ac:dyDescent="0.35">
      <c r="A10" s="6">
        <v>6</v>
      </c>
      <c r="B10" s="6" t="s">
        <v>32</v>
      </c>
      <c r="C10" s="5" t="s">
        <v>13</v>
      </c>
      <c r="D10" s="5" t="s">
        <v>33</v>
      </c>
      <c r="E10" s="5" t="s">
        <v>34</v>
      </c>
      <c r="F10" s="6" t="s">
        <v>31</v>
      </c>
      <c r="G10" s="6">
        <v>3</v>
      </c>
      <c r="H10" s="6" t="s">
        <v>17</v>
      </c>
      <c r="I10" s="6" t="s">
        <v>18</v>
      </c>
      <c r="J10" s="6">
        <v>4</v>
      </c>
    </row>
    <row r="11" spans="1:10" x14ac:dyDescent="0.35">
      <c r="A11" s="6">
        <v>7</v>
      </c>
      <c r="B11" s="6" t="s">
        <v>35</v>
      </c>
      <c r="C11" s="5" t="s">
        <v>13</v>
      </c>
      <c r="D11" s="5" t="s">
        <v>36</v>
      </c>
      <c r="E11" s="5" t="s">
        <v>37</v>
      </c>
      <c r="F11" s="6" t="s">
        <v>31</v>
      </c>
      <c r="G11" s="6">
        <v>2</v>
      </c>
      <c r="H11" s="6" t="s">
        <v>17</v>
      </c>
      <c r="I11" s="6" t="s">
        <v>18</v>
      </c>
      <c r="J11" s="6">
        <v>3</v>
      </c>
    </row>
    <row r="12" spans="1:10" ht="29" x14ac:dyDescent="0.35">
      <c r="A12" s="6">
        <v>8</v>
      </c>
      <c r="B12" s="6" t="s">
        <v>38</v>
      </c>
      <c r="C12" s="5" t="s">
        <v>13</v>
      </c>
      <c r="D12" s="5" t="s">
        <v>39</v>
      </c>
      <c r="E12" s="5" t="s">
        <v>40</v>
      </c>
      <c r="F12" s="6" t="s">
        <v>41</v>
      </c>
      <c r="G12" s="6">
        <v>2</v>
      </c>
      <c r="H12" s="6" t="s">
        <v>17</v>
      </c>
      <c r="I12" s="6" t="s">
        <v>42</v>
      </c>
      <c r="J12" s="6"/>
    </row>
    <row r="13" spans="1:10" x14ac:dyDescent="0.35">
      <c r="A13" s="6">
        <v>9</v>
      </c>
      <c r="B13" s="6" t="s">
        <v>43</v>
      </c>
      <c r="C13" s="5" t="s">
        <v>44</v>
      </c>
      <c r="D13" s="5" t="s">
        <v>45</v>
      </c>
      <c r="E13" s="5" t="s">
        <v>46</v>
      </c>
      <c r="F13" s="6" t="s">
        <v>41</v>
      </c>
      <c r="G13" s="6">
        <v>8</v>
      </c>
      <c r="H13" s="6" t="s">
        <v>47</v>
      </c>
      <c r="I13" s="6"/>
      <c r="J13" s="6"/>
    </row>
    <row r="14" spans="1:10" x14ac:dyDescent="0.35">
      <c r="A14" s="6">
        <v>10</v>
      </c>
      <c r="B14" s="6" t="s">
        <v>48</v>
      </c>
      <c r="C14" s="5" t="s">
        <v>49</v>
      </c>
      <c r="D14" s="5" t="s">
        <v>50</v>
      </c>
      <c r="E14" s="5" t="s">
        <v>51</v>
      </c>
      <c r="F14" s="6" t="s">
        <v>41</v>
      </c>
      <c r="G14" s="6">
        <v>5</v>
      </c>
      <c r="H14" s="6" t="s">
        <v>47</v>
      </c>
      <c r="I14" s="6"/>
      <c r="J14" s="6"/>
    </row>
    <row r="16" spans="1:10" x14ac:dyDescent="0.35">
      <c r="A16" s="2" t="s">
        <v>52</v>
      </c>
      <c r="B16" s="2"/>
      <c r="C16" s="2"/>
      <c r="D16" s="2"/>
      <c r="E16" s="7">
        <f>SUMIFS(G5:G14,H5:H14,"Sprint 1")</f>
        <v>25</v>
      </c>
    </row>
    <row r="17" spans="1:5" x14ac:dyDescent="0.35">
      <c r="A17" s="2" t="s">
        <v>53</v>
      </c>
      <c r="B17" s="2"/>
      <c r="C17" s="2"/>
      <c r="D17" s="2"/>
      <c r="E17" s="7">
        <f>SUMIFS(G5:G14,H5:H14,"Sprint 1",I5:I14,"Terminée")</f>
        <v>23</v>
      </c>
    </row>
    <row r="18" spans="1:5" x14ac:dyDescent="0.35">
      <c r="A18" s="2" t="s">
        <v>54</v>
      </c>
      <c r="B18" s="2"/>
      <c r="C18" s="2"/>
      <c r="D18" s="2"/>
      <c r="E18" s="7">
        <f>SUM(G5:G14)-E17</f>
        <v>15</v>
      </c>
    </row>
  </sheetData>
  <conditionalFormatting sqref="A5:J12">
    <cfRule type="expression" dxfId="1" priority="1" stopIfTrue="1">
      <formula>$H5="Sprint 1"</formula>
    </cfRule>
  </conditionalFormatting>
  <conditionalFormatting sqref="I5:I14">
    <cfRule type="cellIs" dxfId="0" priority="2" stopIfTrue="1" operator="equal">
      <formula>"Non terminée"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311D-306A-411B-AB02-B9FDC4E8B548}">
  <dimension ref="A1:D12"/>
  <sheetViews>
    <sheetView zoomScaleNormal="100" workbookViewId="0"/>
  </sheetViews>
  <sheetFormatPr baseColWidth="10" defaultRowHeight="14.5" x14ac:dyDescent="0.35"/>
  <cols>
    <col min="1" max="1" width="9.6328125" customWidth="1"/>
    <col min="2" max="3" width="13.6328125" customWidth="1"/>
    <col min="4" max="4" width="22.6328125" customWidth="1"/>
  </cols>
  <sheetData>
    <row r="1" spans="1:4" ht="18.5" x14ac:dyDescent="0.45">
      <c r="A1" s="1" t="s">
        <v>55</v>
      </c>
    </row>
    <row r="2" spans="1:4" x14ac:dyDescent="0.35">
      <c r="A2" t="s">
        <v>1</v>
      </c>
    </row>
    <row r="4" spans="1:4" x14ac:dyDescent="0.35">
      <c r="A4" s="8" t="s">
        <v>56</v>
      </c>
      <c r="B4" s="8" t="s">
        <v>57</v>
      </c>
      <c r="C4" s="8" t="s">
        <v>58</v>
      </c>
      <c r="D4" s="8" t="s">
        <v>59</v>
      </c>
    </row>
    <row r="5" spans="1:4" x14ac:dyDescent="0.35">
      <c r="A5" s="4" t="s">
        <v>60</v>
      </c>
      <c r="B5" s="9">
        <f>'Product Backlog'!$E$16-'Product Backlog'!$E$16/5*0</f>
        <v>25</v>
      </c>
      <c r="C5" s="9">
        <f>'Product Backlog'!$E$16-SUMIFS('Product Backlog'!$G$5:$G$14,'Product Backlog'!$J$5:$J$14,"&lt;=0",'Product Backlog'!$H$5:$H$14,"Sprint 1")</f>
        <v>25</v>
      </c>
      <c r="D5" s="9"/>
    </row>
    <row r="6" spans="1:4" x14ac:dyDescent="0.35">
      <c r="A6" s="4" t="s">
        <v>61</v>
      </c>
      <c r="B6" s="9">
        <f>'Product Backlog'!$E$16-'Product Backlog'!$E$16/5*1</f>
        <v>20</v>
      </c>
      <c r="C6" s="9">
        <f>'Product Backlog'!$E$16-SUMIFS('Product Backlog'!$G$5:$G$14,'Product Backlog'!$J$5:$J$14,"&lt;=1",'Product Backlog'!$H$5:$H$14,"Sprint 1")</f>
        <v>23</v>
      </c>
      <c r="D6" s="9">
        <f>C5-C6</f>
        <v>2</v>
      </c>
    </row>
    <row r="7" spans="1:4" x14ac:dyDescent="0.35">
      <c r="A7" s="4" t="s">
        <v>62</v>
      </c>
      <c r="B7" s="9">
        <f>'Product Backlog'!$E$16-'Product Backlog'!$E$16/5*2</f>
        <v>15</v>
      </c>
      <c r="C7" s="9">
        <f>'Product Backlog'!$E$16-SUMIFS('Product Backlog'!$G$5:$G$14,'Product Backlog'!$J$5:$J$14,"&lt;=2",'Product Backlog'!$H$5:$H$14,"Sprint 1")</f>
        <v>20</v>
      </c>
      <c r="D7" s="9">
        <f>C6-C7</f>
        <v>3</v>
      </c>
    </row>
    <row r="8" spans="1:4" x14ac:dyDescent="0.35">
      <c r="A8" s="4" t="s">
        <v>63</v>
      </c>
      <c r="B8" s="9">
        <f>'Product Backlog'!$E$16-'Product Backlog'!$E$16/5*3</f>
        <v>10</v>
      </c>
      <c r="C8" s="9">
        <f>'Product Backlog'!$E$16-SUMIFS('Product Backlog'!$G$5:$G$14,'Product Backlog'!$J$5:$J$14,"&lt;=3",'Product Backlog'!$H$5:$H$14,"Sprint 1")</f>
        <v>15</v>
      </c>
      <c r="D8" s="9">
        <f>C7-C8</f>
        <v>5</v>
      </c>
    </row>
    <row r="9" spans="1:4" x14ac:dyDescent="0.35">
      <c r="A9" s="4" t="s">
        <v>64</v>
      </c>
      <c r="B9" s="9">
        <f>'Product Backlog'!$E$16-'Product Backlog'!$E$16/5*4</f>
        <v>5</v>
      </c>
      <c r="C9" s="9">
        <f>'Product Backlog'!$E$16-SUMIFS('Product Backlog'!$G$5:$G$14,'Product Backlog'!$J$5:$J$14,"&lt;=4",'Product Backlog'!$H$5:$H$14,"Sprint 1")</f>
        <v>7</v>
      </c>
      <c r="D9" s="9">
        <f>C8-C9</f>
        <v>8</v>
      </c>
    </row>
    <row r="10" spans="1:4" x14ac:dyDescent="0.35">
      <c r="A10" s="4" t="s">
        <v>65</v>
      </c>
      <c r="B10" s="9">
        <f>'Product Backlog'!$E$16-'Product Backlog'!$E$16/5*5</f>
        <v>0</v>
      </c>
      <c r="C10" s="9">
        <f>'Product Backlog'!$E$16-SUMIFS('Product Backlog'!$G$5:$G$14,'Product Backlog'!$J$5:$J$14,"&lt;=5",'Product Backlog'!$H$5:$H$14,"Sprint 1")</f>
        <v>2</v>
      </c>
      <c r="D10" s="9">
        <f>C9-C10</f>
        <v>5</v>
      </c>
    </row>
    <row r="12" spans="1:4" x14ac:dyDescent="0.35">
      <c r="A12" s="10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Product Backlog</vt:lpstr>
      <vt:lpstr>Burndown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Nunes</dc:creator>
  <cp:lastModifiedBy>Alessandro Nunes</cp:lastModifiedBy>
  <dcterms:created xsi:type="dcterms:W3CDTF">2026-10-14T09:03:30Z</dcterms:created>
  <dcterms:modified xsi:type="dcterms:W3CDTF">2026-10-14T09:03:39Z</dcterms:modified>
</cp:coreProperties>
</file>